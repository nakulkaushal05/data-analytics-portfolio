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b14590e8317aa1/Desktop/data_analytics/"/>
    </mc:Choice>
  </mc:AlternateContent>
  <xr:revisionPtr revIDLastSave="266" documentId="8_{FD48E363-9396-4388-82C7-3C6C5541EBCC}" xr6:coauthVersionLast="47" xr6:coauthVersionMax="47" xr10:uidLastSave="{ED41FE8C-3DE4-49C7-8F8B-C0B3B57D9516}"/>
  <bookViews>
    <workbookView xWindow="-110" yWindow="-110" windowWidth="19420" windowHeight="11500" activeTab="2" xr2:uid="{2D43156C-B62F-4CE2-9EC0-E8DC1B051E44}"/>
  </bookViews>
  <sheets>
    <sheet name="ORDERS" sheetId="1" r:id="rId1"/>
    <sheet name="PRODUCT MASTER1" sheetId="3" r:id="rId2"/>
    <sheet name="DASH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5" i="1" l="1"/>
  <c r="I124" i="1"/>
  <c r="I123" i="1"/>
  <c r="I122" i="1"/>
  <c r="I121" i="1"/>
  <c r="F124" i="1"/>
  <c r="F123" i="1"/>
  <c r="F122" i="1"/>
  <c r="F121" i="1"/>
  <c r="C125" i="1"/>
  <c r="C124" i="1"/>
  <c r="C123" i="1"/>
  <c r="C122" i="1"/>
  <c r="C121" i="1"/>
  <c r="E116" i="1"/>
  <c r="E115" i="1"/>
  <c r="I95" i="1"/>
  <c r="I101" i="1"/>
  <c r="E110" i="1"/>
  <c r="E109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6" i="1"/>
  <c r="I97" i="1"/>
  <c r="I98" i="1"/>
  <c r="I99" i="1"/>
  <c r="I10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" i="1"/>
  <c r="H11" i="1"/>
  <c r="H12" i="1"/>
  <c r="H13" i="1"/>
  <c r="H14" i="1"/>
  <c r="H15" i="1"/>
  <c r="G2" i="1"/>
  <c r="H3" i="1"/>
  <c r="H4" i="1"/>
  <c r="H5" i="1"/>
  <c r="H6" i="1"/>
  <c r="H7" i="1"/>
  <c r="H8" i="1"/>
  <c r="H9" i="1"/>
  <c r="H2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F5" i="1"/>
  <c r="F6" i="1"/>
  <c r="F7" i="1"/>
  <c r="F8" i="1"/>
  <c r="F9" i="1"/>
  <c r="F10" i="1"/>
  <c r="F11" i="1"/>
  <c r="F12" i="1"/>
  <c r="F13" i="1"/>
  <c r="F14" i="1"/>
  <c r="F15" i="1"/>
  <c r="F16" i="1"/>
  <c r="F101" i="1"/>
  <c r="F3" i="1"/>
  <c r="F4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2" i="1"/>
</calcChain>
</file>

<file path=xl/sharedStrings.xml><?xml version="1.0" encoding="utf-8"?>
<sst xmlns="http://schemas.openxmlformats.org/spreadsheetml/2006/main" count="385" uniqueCount="71">
  <si>
    <t>Order ID</t>
  </si>
  <si>
    <t>Product ID</t>
  </si>
  <si>
    <t>Quantity</t>
  </si>
  <si>
    <t>City</t>
  </si>
  <si>
    <t>Salesperson</t>
  </si>
  <si>
    <t>P002</t>
  </si>
  <si>
    <t>Jaipur</t>
  </si>
  <si>
    <t>Priya</t>
  </si>
  <si>
    <t>P004</t>
  </si>
  <si>
    <t>Delhi</t>
  </si>
  <si>
    <t>Sneha</t>
  </si>
  <si>
    <t>P009</t>
  </si>
  <si>
    <t>Hyderabad</t>
  </si>
  <si>
    <t>Neha</t>
  </si>
  <si>
    <t>P001</t>
  </si>
  <si>
    <t>Mumbai</t>
  </si>
  <si>
    <t>P010</t>
  </si>
  <si>
    <t>P007</t>
  </si>
  <si>
    <t>Rahul</t>
  </si>
  <si>
    <t>Aman</t>
  </si>
  <si>
    <t>P008</t>
  </si>
  <si>
    <t>Bengaluru</t>
  </si>
  <si>
    <t>P006</t>
  </si>
  <si>
    <t>Karan</t>
  </si>
  <si>
    <t>P003</t>
  </si>
  <si>
    <t>P005</t>
  </si>
  <si>
    <t>Product Name</t>
  </si>
  <si>
    <t>Category</t>
  </si>
  <si>
    <t>Price</t>
  </si>
  <si>
    <t>Laptop</t>
  </si>
  <si>
    <t>Electronics</t>
  </si>
  <si>
    <t>Phone</t>
  </si>
  <si>
    <t>Headphones</t>
  </si>
  <si>
    <t>Refrigerator</t>
  </si>
  <si>
    <t>Home Appliances</t>
  </si>
  <si>
    <t>Shoes</t>
  </si>
  <si>
    <t>Fashion</t>
  </si>
  <si>
    <t>Television</t>
  </si>
  <si>
    <t>Bag</t>
  </si>
  <si>
    <t>Accessories</t>
  </si>
  <si>
    <t>Watch</t>
  </si>
  <si>
    <t>Microwave</t>
  </si>
  <si>
    <t>Tablet</t>
  </si>
  <si>
    <t>Total Sales</t>
  </si>
  <si>
    <t>TASK-1 ) ADDED PRODUCT NAME, CATEGORY AND PRICE IN THE ORDERS WORKSHEET USING VLOOKUP</t>
  </si>
  <si>
    <t xml:space="preserve">TASK-2) ADDED TOTAL SALES COLUMN </t>
  </si>
  <si>
    <r>
      <t xml:space="preserve">Use </t>
    </r>
    <r>
      <rPr>
        <b/>
        <sz val="11"/>
        <color theme="1"/>
        <rFont val="Calibri"/>
        <family val="2"/>
        <scheme val="minor"/>
      </rPr>
      <t>SUMIFS</t>
    </r>
    <r>
      <rPr>
        <sz val="11"/>
        <color theme="1"/>
        <rFont val="Calibri"/>
        <family val="2"/>
        <scheme val="minor"/>
      </rPr>
      <t xml:space="preserve"> to calculate:</t>
    </r>
  </si>
  <si>
    <t>Total Sales from Delhi</t>
  </si>
  <si>
    <t>Total Sales of Electronics</t>
  </si>
  <si>
    <t>TASK-3)</t>
  </si>
  <si>
    <t>Total Sales by Rahul</t>
  </si>
  <si>
    <t>TASK-4)</t>
  </si>
  <si>
    <r>
      <t xml:space="preserve">Use </t>
    </r>
    <r>
      <rPr>
        <b/>
        <sz val="11"/>
        <color theme="1"/>
        <rFont val="Calibri"/>
        <family val="2"/>
        <scheme val="minor"/>
      </rPr>
      <t>COUNTIFS</t>
    </r>
    <r>
      <rPr>
        <sz val="11"/>
        <color theme="1"/>
        <rFont val="Calibri"/>
        <family val="2"/>
        <scheme val="minor"/>
      </rPr>
      <t xml:space="preserve"> to find:</t>
    </r>
  </si>
  <si>
    <t>Electronics orders in Delhi</t>
  </si>
  <si>
    <t>Orders handled by Priya in Mumbai</t>
  </si>
  <si>
    <t>TASK-5)</t>
  </si>
  <si>
    <r>
      <t xml:space="preserve">Created an </t>
    </r>
    <r>
      <rPr>
        <b/>
        <sz val="11"/>
        <color theme="1"/>
        <rFont val="Calibri"/>
        <family val="2"/>
        <scheme val="minor"/>
      </rPr>
      <t>Insights</t>
    </r>
    <r>
      <rPr>
        <sz val="11"/>
        <color theme="1"/>
        <rFont val="Calibri"/>
        <family val="2"/>
        <scheme val="minor"/>
      </rPr>
      <t xml:space="preserve"> sheet with at least </t>
    </r>
    <r>
      <rPr>
        <b/>
        <sz val="11"/>
        <color theme="1"/>
        <rFont val="Calibri"/>
        <family val="2"/>
        <scheme val="minor"/>
      </rPr>
      <t>5 business insights</t>
    </r>
    <r>
      <rPr>
        <sz val="11"/>
        <color theme="1"/>
        <rFont val="Calibri"/>
        <family val="2"/>
        <scheme val="minor"/>
      </rPr>
      <t>.</t>
    </r>
  </si>
  <si>
    <t>SALESPERSON</t>
  </si>
  <si>
    <t>SALES</t>
  </si>
  <si>
    <t>CATEGORY</t>
  </si>
  <si>
    <t>BEST SALESPERSON IS PRIYA</t>
  </si>
  <si>
    <t xml:space="preserve">KARAN NEEDS IMPROVEMENT </t>
  </si>
  <si>
    <t>HIGHEST SELLING CATEGORY IS ELECTRONICS</t>
  </si>
  <si>
    <t>LOWEST SELLING CATEGORY IS FASION</t>
  </si>
  <si>
    <t>CITY</t>
  </si>
  <si>
    <t>ORDERS</t>
  </si>
  <si>
    <t>HIGHEST SALES ARE IN DELHI</t>
  </si>
  <si>
    <t>LOWEST SALES ARE IN BENGALURU</t>
  </si>
  <si>
    <t>SALES DONE BY SALESPERSONS</t>
  </si>
  <si>
    <t>ORDERS IN EACH CITY</t>
  </si>
  <si>
    <t>PIE CHART VIEW OF SALES CONTRIBUTUON OF DIFFERENT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</si>
</sst>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000000"/>
      <name val="Aptos Narrow"/>
      <family val="2"/>
    </font>
    <font>
      <b/>
      <i/>
      <u/>
      <sz val="11"/>
      <color theme="1"/>
      <name val="Calibri"/>
      <family val="2"/>
      <scheme val="minor"/>
    </font>
    <font>
      <b/>
      <i/>
      <sz val="17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2" xfId="0" applyBorder="1"/>
    <xf numFmtId="173" fontId="0" fillId="0" borderId="1" xfId="0" applyNumberFormat="1" applyBorder="1"/>
    <xf numFmtId="0" fontId="0" fillId="0" borderId="0" xfId="0" applyBorder="1"/>
    <xf numFmtId="0" fontId="0" fillId="0" borderId="0" xfId="0" applyAlignment="1">
      <alignment horizontal="left" vertical="center" indent="1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4" fillId="4" borderId="0" xfId="0" applyFont="1" applyFill="1" applyBorder="1"/>
    <xf numFmtId="0" fontId="4" fillId="0" borderId="0" xfId="0" applyFont="1"/>
    <xf numFmtId="0" fontId="0" fillId="5" borderId="1" xfId="0" applyFill="1" applyBorder="1"/>
    <xf numFmtId="0" fontId="2" fillId="6" borderId="1" xfId="0" applyFont="1" applyFill="1" applyBorder="1"/>
    <xf numFmtId="0" fontId="2" fillId="6" borderId="2" xfId="0" applyFont="1" applyFill="1" applyBorder="1"/>
    <xf numFmtId="0" fontId="2" fillId="7" borderId="1" xfId="0" applyFont="1" applyFill="1" applyBorder="1"/>
    <xf numFmtId="0" fontId="0" fillId="7" borderId="1" xfId="0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ORDERS!$I$120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ORDERS!$H$121:$H$125</c:f>
              <c:strCache>
                <c:ptCount val="5"/>
                <c:pt idx="0">
                  <c:v>Delhi</c:v>
                </c:pt>
                <c:pt idx="1">
                  <c:v>Mumbai</c:v>
                </c:pt>
                <c:pt idx="2">
                  <c:v>Bengaluru</c:v>
                </c:pt>
                <c:pt idx="3">
                  <c:v>Jaipur</c:v>
                </c:pt>
                <c:pt idx="4">
                  <c:v>Hyderabad</c:v>
                </c:pt>
              </c:strCache>
            </c:strRef>
          </c:cat>
          <c:val>
            <c:numRef>
              <c:f>ORDERS!$I$121:$I$125</c:f>
              <c:numCache>
                <c:formatCode>General</c:formatCode>
                <c:ptCount val="5"/>
                <c:pt idx="0">
                  <c:v>27</c:v>
                </c:pt>
                <c:pt idx="1">
                  <c:v>19</c:v>
                </c:pt>
                <c:pt idx="2">
                  <c:v>13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0-4A88-9C07-BFE4EA8BF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9034752"/>
        <c:axId val="1664234320"/>
        <c:axId val="0"/>
      </c:bar3DChart>
      <c:catAx>
        <c:axId val="201903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34320"/>
        <c:crosses val="autoZero"/>
        <c:auto val="1"/>
        <c:lblAlgn val="ctr"/>
        <c:lblOffset val="100"/>
        <c:noMultiLvlLbl val="0"/>
      </c:catAx>
      <c:valAx>
        <c:axId val="166423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3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ORDERS!$F$120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ORDERS!$E$121:$E$124</c:f>
              <c:strCache>
                <c:ptCount val="4"/>
                <c:pt idx="0">
                  <c:v>Electronics</c:v>
                </c:pt>
                <c:pt idx="1">
                  <c:v>Home Appliances</c:v>
                </c:pt>
                <c:pt idx="2">
                  <c:v>Fashion</c:v>
                </c:pt>
                <c:pt idx="3">
                  <c:v>Accessories</c:v>
                </c:pt>
              </c:strCache>
            </c:strRef>
          </c:cat>
          <c:val>
            <c:numRef>
              <c:f>ORDERS!$F$121:$F$124</c:f>
              <c:numCache>
                <c:formatCode>General</c:formatCode>
                <c:ptCount val="4"/>
                <c:pt idx="0">
                  <c:v>4493000</c:v>
                </c:pt>
                <c:pt idx="1">
                  <c:v>3588000</c:v>
                </c:pt>
                <c:pt idx="2">
                  <c:v>115000</c:v>
                </c:pt>
                <c:pt idx="3">
                  <c:v>213000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4-4AF5-BBFD-D5FC64600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ORDERS!$C$120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ORDERS!$B$121:$B$125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Sneha</c:v>
                </c:pt>
                <c:pt idx="3">
                  <c:v>Aman</c:v>
                </c:pt>
                <c:pt idx="4">
                  <c:v>Karan</c:v>
                </c:pt>
              </c:strCache>
            </c:strRef>
          </c:cat>
          <c:val>
            <c:numRef>
              <c:f>ORDERS!$C$121:$C$125</c:f>
              <c:numCache>
                <c:formatCode>General</c:formatCode>
                <c:ptCount val="5"/>
                <c:pt idx="0">
                  <c:v>1922000</c:v>
                </c:pt>
                <c:pt idx="1">
                  <c:v>1710900</c:v>
                </c:pt>
                <c:pt idx="2">
                  <c:v>1090300</c:v>
                </c:pt>
                <c:pt idx="3">
                  <c:v>1316900</c:v>
                </c:pt>
                <c:pt idx="4">
                  <c:v>722000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2-4B98-B737-49AFE3E6F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3</xdr:row>
      <xdr:rowOff>152400</xdr:rowOff>
    </xdr:from>
    <xdr:to>
      <xdr:col>8</xdr:col>
      <xdr:colOff>6351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79F54-F6F4-BCDE-EA8F-4175DCCD5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263524</xdr:colOff>
      <xdr:row>4</xdr:row>
      <xdr:rowOff>82550</xdr:rowOff>
    </xdr:from>
    <xdr:to>
      <xdr:col>17</xdr:col>
      <xdr:colOff>69849</xdr:colOff>
      <xdr:row>20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24C16-FC57-88C9-9B5B-664E55E9E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219075</xdr:colOff>
      <xdr:row>23</xdr:row>
      <xdr:rowOff>177800</xdr:rowOff>
    </xdr:from>
    <xdr:to>
      <xdr:col>7</xdr:col>
      <xdr:colOff>523875</xdr:colOff>
      <xdr:row>38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E22077-AACF-03C5-5C1E-449CA5AE9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48B4-EA67-4437-A778-AEB176F17394}">
  <dimension ref="A1:I129"/>
  <sheetViews>
    <sheetView topLeftCell="A111" zoomScale="122" workbookViewId="0">
      <selection activeCell="E106" sqref="E106"/>
    </sheetView>
  </sheetViews>
  <sheetFormatPr defaultRowHeight="14.5" x14ac:dyDescent="0.35"/>
  <cols>
    <col min="1" max="1" width="10.1796875" style="9" customWidth="1"/>
    <col min="2" max="2" width="11.54296875" customWidth="1"/>
    <col min="3" max="3" width="8" customWidth="1"/>
    <col min="4" max="4" width="11.36328125" customWidth="1"/>
    <col min="5" max="5" width="18.1796875" customWidth="1"/>
    <col min="6" max="6" width="15.6328125" customWidth="1"/>
    <col min="7" max="7" width="15.26953125" customWidth="1"/>
    <col min="8" max="8" width="10.08984375" customWidth="1"/>
    <col min="9" max="9" width="12.6328125" style="5" customWidth="1"/>
  </cols>
  <sheetData>
    <row r="1" spans="1:9" x14ac:dyDescent="0.35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26</v>
      </c>
      <c r="G1" s="13" t="s">
        <v>27</v>
      </c>
      <c r="H1" s="14" t="s">
        <v>28</v>
      </c>
      <c r="I1" s="13" t="s">
        <v>43</v>
      </c>
    </row>
    <row r="2" spans="1:9" x14ac:dyDescent="0.35">
      <c r="A2" s="16">
        <v>1001</v>
      </c>
      <c r="B2" s="1" t="s">
        <v>5</v>
      </c>
      <c r="C2" s="1">
        <v>1</v>
      </c>
      <c r="D2" s="1" t="s">
        <v>6</v>
      </c>
      <c r="E2" s="1" t="s">
        <v>7</v>
      </c>
      <c r="F2" s="1" t="str">
        <f>VLOOKUP(B2,'PRODUCT MASTER1'!$A$1:$D$11,2)</f>
        <v>Phone</v>
      </c>
      <c r="G2" s="1" t="str">
        <f>VLOOKUP(B2,'PRODUCT MASTER1'!$A$1:$D$11,3)</f>
        <v>Electronics</v>
      </c>
      <c r="H2" s="3">
        <f>VLOOKUP(B2,'PRODUCT MASTER1'!$A$1:$D$11,4)</f>
        <v>35000</v>
      </c>
      <c r="I2" s="4">
        <f>C2*H2</f>
        <v>35000</v>
      </c>
    </row>
    <row r="3" spans="1:9" x14ac:dyDescent="0.35">
      <c r="A3" s="16">
        <v>1002</v>
      </c>
      <c r="B3" s="1" t="s">
        <v>8</v>
      </c>
      <c r="C3" s="1">
        <v>3</v>
      </c>
      <c r="D3" s="1" t="s">
        <v>9</v>
      </c>
      <c r="E3" s="1" t="s">
        <v>10</v>
      </c>
      <c r="F3" s="1" t="str">
        <f>VLOOKUP(B3,'PRODUCT MASTER1'!$A$1:$D$11,2)</f>
        <v>Refrigerator</v>
      </c>
      <c r="G3" s="1" t="str">
        <f>VLOOKUP(B3,'PRODUCT MASTER1'!$A$1:$D$11,3)</f>
        <v>Home Appliances</v>
      </c>
      <c r="H3" s="3">
        <f>VLOOKUP(B3,'PRODUCT MASTER1'!$A$1:$D$11,4)</f>
        <v>42000</v>
      </c>
      <c r="I3" s="4">
        <f t="shared" ref="I3:I66" si="0">C3*H3</f>
        <v>126000</v>
      </c>
    </row>
    <row r="4" spans="1:9" x14ac:dyDescent="0.35">
      <c r="A4" s="16">
        <v>1003</v>
      </c>
      <c r="B4" s="1" t="s">
        <v>11</v>
      </c>
      <c r="C4" s="1">
        <v>2</v>
      </c>
      <c r="D4" s="1" t="s">
        <v>12</v>
      </c>
      <c r="E4" s="1" t="s">
        <v>13</v>
      </c>
      <c r="F4" s="1" t="str">
        <f>VLOOKUP(B4,'PRODUCT MASTER1'!$A$1:$D$11,2)</f>
        <v>Microwave</v>
      </c>
      <c r="G4" s="1" t="str">
        <f>VLOOKUP(B4,'PRODUCT MASTER1'!$A$1:$D$11,3)</f>
        <v>Home Appliances</v>
      </c>
      <c r="H4" s="3">
        <f>VLOOKUP(B4,'PRODUCT MASTER1'!$A$1:$D$11,4)</f>
        <v>15000</v>
      </c>
      <c r="I4" s="4">
        <f t="shared" si="0"/>
        <v>30000</v>
      </c>
    </row>
    <row r="5" spans="1:9" x14ac:dyDescent="0.35">
      <c r="A5" s="16">
        <v>1004</v>
      </c>
      <c r="B5" s="1" t="s">
        <v>25</v>
      </c>
      <c r="C5" s="1">
        <v>1</v>
      </c>
      <c r="D5" s="1" t="s">
        <v>9</v>
      </c>
      <c r="E5" s="1" t="s">
        <v>7</v>
      </c>
      <c r="F5" s="1" t="str">
        <f>VLOOKUP(B5,'PRODUCT MASTER1'!$A$1:$D$11,2)</f>
        <v>Shoes</v>
      </c>
      <c r="G5" s="1" t="str">
        <f>VLOOKUP(B5,'PRODUCT MASTER1'!$A$1:$D$11,3)</f>
        <v>Fashion</v>
      </c>
      <c r="H5" s="3">
        <f>VLOOKUP(B5,'PRODUCT MASTER1'!$A$1:$D$11,4)</f>
        <v>2500</v>
      </c>
      <c r="I5" s="4">
        <f t="shared" si="0"/>
        <v>2500</v>
      </c>
    </row>
    <row r="6" spans="1:9" x14ac:dyDescent="0.35">
      <c r="A6" s="16">
        <v>1005</v>
      </c>
      <c r="B6" s="1" t="s">
        <v>8</v>
      </c>
      <c r="C6" s="1">
        <v>1</v>
      </c>
      <c r="D6" s="1" t="s">
        <v>12</v>
      </c>
      <c r="E6" s="1" t="s">
        <v>7</v>
      </c>
      <c r="F6" s="1" t="str">
        <f>VLOOKUP(B6,'PRODUCT MASTER1'!$A$1:$D$11,2)</f>
        <v>Refrigerator</v>
      </c>
      <c r="G6" s="1" t="str">
        <f>VLOOKUP(B6,'PRODUCT MASTER1'!$A$1:$D$11,3)</f>
        <v>Home Appliances</v>
      </c>
      <c r="H6" s="3">
        <f>VLOOKUP(B6,'PRODUCT MASTER1'!$A$1:$D$11,4)</f>
        <v>42000</v>
      </c>
      <c r="I6" s="4">
        <f t="shared" si="0"/>
        <v>42000</v>
      </c>
    </row>
    <row r="7" spans="1:9" x14ac:dyDescent="0.35">
      <c r="A7" s="16">
        <v>1006</v>
      </c>
      <c r="B7" s="1" t="s">
        <v>11</v>
      </c>
      <c r="C7" s="1">
        <v>7</v>
      </c>
      <c r="D7" s="1" t="s">
        <v>15</v>
      </c>
      <c r="E7" s="1" t="s">
        <v>13</v>
      </c>
      <c r="F7" s="1" t="str">
        <f>VLOOKUP(B7,'PRODUCT MASTER1'!$A$1:$D$11,2)</f>
        <v>Microwave</v>
      </c>
      <c r="G7" s="1" t="str">
        <f>VLOOKUP(B7,'PRODUCT MASTER1'!$A$1:$D$11,3)</f>
        <v>Home Appliances</v>
      </c>
      <c r="H7" s="3">
        <f>VLOOKUP(B7,'PRODUCT MASTER1'!$A$1:$D$11,4)</f>
        <v>15000</v>
      </c>
      <c r="I7" s="4">
        <f t="shared" si="0"/>
        <v>105000</v>
      </c>
    </row>
    <row r="8" spans="1:9" x14ac:dyDescent="0.35">
      <c r="A8" s="16">
        <v>1007</v>
      </c>
      <c r="B8" s="1" t="s">
        <v>16</v>
      </c>
      <c r="C8" s="1">
        <v>5</v>
      </c>
      <c r="D8" s="1" t="s">
        <v>9</v>
      </c>
      <c r="E8" s="1" t="s">
        <v>7</v>
      </c>
      <c r="F8" s="1" t="str">
        <f>VLOOKUP(B8,'PRODUCT MASTER1'!$A$1:$D$11,2)</f>
        <v>Tablet</v>
      </c>
      <c r="G8" s="1" t="str">
        <f>VLOOKUP(B8,'PRODUCT MASTER1'!$A$1:$D$11,3)</f>
        <v>Electronics</v>
      </c>
      <c r="H8" s="3">
        <f>VLOOKUP(B8,'PRODUCT MASTER1'!$A$1:$D$11,4)</f>
        <v>28000</v>
      </c>
      <c r="I8" s="4">
        <f t="shared" si="0"/>
        <v>140000</v>
      </c>
    </row>
    <row r="9" spans="1:9" x14ac:dyDescent="0.35">
      <c r="A9" s="16">
        <v>1008</v>
      </c>
      <c r="B9" s="1" t="s">
        <v>17</v>
      </c>
      <c r="C9" s="1">
        <v>6</v>
      </c>
      <c r="D9" s="1" t="s">
        <v>6</v>
      </c>
      <c r="E9" s="1" t="s">
        <v>7</v>
      </c>
      <c r="F9" s="1" t="str">
        <f>VLOOKUP(B9,'PRODUCT MASTER1'!$A$1:$D$11,2)</f>
        <v>Bag</v>
      </c>
      <c r="G9" s="1" t="str">
        <f>VLOOKUP(B9,'PRODUCT MASTER1'!$A$1:$D$11,3)</f>
        <v>Accessories</v>
      </c>
      <c r="H9" s="3">
        <f>VLOOKUP(B9,'PRODUCT MASTER1'!$A$1:$D$11,4)</f>
        <v>1800</v>
      </c>
      <c r="I9" s="4">
        <f t="shared" si="0"/>
        <v>10800</v>
      </c>
    </row>
    <row r="10" spans="1:9" x14ac:dyDescent="0.35">
      <c r="A10" s="16">
        <v>1009</v>
      </c>
      <c r="B10" s="1" t="s">
        <v>8</v>
      </c>
      <c r="C10" s="1">
        <v>6</v>
      </c>
      <c r="D10" s="1" t="s">
        <v>9</v>
      </c>
      <c r="E10" s="1" t="s">
        <v>18</v>
      </c>
      <c r="F10" s="1" t="str">
        <f>VLOOKUP(B10,'PRODUCT MASTER1'!$A$1:$D$11,2)</f>
        <v>Refrigerator</v>
      </c>
      <c r="G10" s="1" t="str">
        <f>VLOOKUP(B10,'PRODUCT MASTER1'!$A$1:$D$11,3)</f>
        <v>Home Appliances</v>
      </c>
      <c r="H10" s="3">
        <f>VLOOKUP(B10,'PRODUCT MASTER1'!$A$1:$D$11,4)</f>
        <v>42000</v>
      </c>
      <c r="I10" s="4">
        <f t="shared" si="0"/>
        <v>252000</v>
      </c>
    </row>
    <row r="11" spans="1:9" x14ac:dyDescent="0.35">
      <c r="A11" s="16">
        <v>1010</v>
      </c>
      <c r="B11" s="1" t="s">
        <v>17</v>
      </c>
      <c r="C11" s="1">
        <v>2</v>
      </c>
      <c r="D11" s="1" t="s">
        <v>6</v>
      </c>
      <c r="E11" s="1" t="s">
        <v>19</v>
      </c>
      <c r="F11" s="1" t="str">
        <f>VLOOKUP(B11,'PRODUCT MASTER1'!$A$1:$D$11,2)</f>
        <v>Bag</v>
      </c>
      <c r="G11" s="1" t="str">
        <f>VLOOKUP(B11,'PRODUCT MASTER1'!$A$1:$D$11,3)</f>
        <v>Accessories</v>
      </c>
      <c r="H11" s="3">
        <f>VLOOKUP(B11,'PRODUCT MASTER1'!$A$1:$D$11,4)</f>
        <v>1800</v>
      </c>
      <c r="I11" s="4">
        <f t="shared" si="0"/>
        <v>3600</v>
      </c>
    </row>
    <row r="12" spans="1:9" x14ac:dyDescent="0.35">
      <c r="A12" s="16">
        <v>1011</v>
      </c>
      <c r="B12" s="1" t="s">
        <v>16</v>
      </c>
      <c r="C12" s="1">
        <v>5</v>
      </c>
      <c r="D12" s="1" t="s">
        <v>9</v>
      </c>
      <c r="E12" s="1" t="s">
        <v>10</v>
      </c>
      <c r="F12" s="1" t="str">
        <f>VLOOKUP(B12,'PRODUCT MASTER1'!$A$1:$D$11,2)</f>
        <v>Tablet</v>
      </c>
      <c r="G12" s="1" t="str">
        <f>VLOOKUP(B12,'PRODUCT MASTER1'!$A$1:$D$11,3)</f>
        <v>Electronics</v>
      </c>
      <c r="H12" s="3">
        <f>VLOOKUP(B12,'PRODUCT MASTER1'!$A$1:$D$11,4)</f>
        <v>28000</v>
      </c>
      <c r="I12" s="4">
        <f t="shared" si="0"/>
        <v>140000</v>
      </c>
    </row>
    <row r="13" spans="1:9" x14ac:dyDescent="0.35">
      <c r="A13" s="16">
        <v>1012</v>
      </c>
      <c r="B13" s="1" t="s">
        <v>20</v>
      </c>
      <c r="C13" s="1">
        <v>2</v>
      </c>
      <c r="D13" s="1" t="s">
        <v>21</v>
      </c>
      <c r="E13" s="1" t="s">
        <v>18</v>
      </c>
      <c r="F13" s="1" t="str">
        <f>VLOOKUP(B13,'PRODUCT MASTER1'!$A$1:$D$11,2)</f>
        <v>Watch</v>
      </c>
      <c r="G13" s="1" t="str">
        <f>VLOOKUP(B13,'PRODUCT MASTER1'!$A$1:$D$11,3)</f>
        <v>Accessories</v>
      </c>
      <c r="H13" s="3">
        <f>VLOOKUP(B13,'PRODUCT MASTER1'!$A$1:$D$11,4)</f>
        <v>6000</v>
      </c>
      <c r="I13" s="4">
        <f t="shared" si="0"/>
        <v>12000</v>
      </c>
    </row>
    <row r="14" spans="1:9" x14ac:dyDescent="0.35">
      <c r="A14" s="16">
        <v>1013</v>
      </c>
      <c r="B14" s="1" t="s">
        <v>11</v>
      </c>
      <c r="C14" s="1">
        <v>5</v>
      </c>
      <c r="D14" s="1" t="s">
        <v>12</v>
      </c>
      <c r="E14" s="1" t="s">
        <v>19</v>
      </c>
      <c r="F14" s="1" t="str">
        <f>VLOOKUP(B14,'PRODUCT MASTER1'!$A$1:$D$11,2)</f>
        <v>Microwave</v>
      </c>
      <c r="G14" s="1" t="str">
        <f>VLOOKUP(B14,'PRODUCT MASTER1'!$A$1:$D$11,3)</f>
        <v>Home Appliances</v>
      </c>
      <c r="H14" s="3">
        <f>VLOOKUP(B14,'PRODUCT MASTER1'!$A$1:$D$11,4)</f>
        <v>15000</v>
      </c>
      <c r="I14" s="4">
        <f t="shared" si="0"/>
        <v>75000</v>
      </c>
    </row>
    <row r="15" spans="1:9" x14ac:dyDescent="0.35">
      <c r="A15" s="16">
        <v>1014</v>
      </c>
      <c r="B15" s="1" t="s">
        <v>16</v>
      </c>
      <c r="C15" s="1">
        <v>4</v>
      </c>
      <c r="D15" s="1" t="s">
        <v>9</v>
      </c>
      <c r="E15" s="1" t="s">
        <v>18</v>
      </c>
      <c r="F15" s="1" t="str">
        <f>VLOOKUP(B15,'PRODUCT MASTER1'!$A$1:$D$11,2)</f>
        <v>Tablet</v>
      </c>
      <c r="G15" s="1" t="str">
        <f>VLOOKUP(B15,'PRODUCT MASTER1'!$A$1:$D$11,3)</f>
        <v>Electronics</v>
      </c>
      <c r="H15" s="3">
        <f>VLOOKUP(B15,'PRODUCT MASTER1'!$A$1:$D$11,4)</f>
        <v>28000</v>
      </c>
      <c r="I15" s="4">
        <f t="shared" si="0"/>
        <v>112000</v>
      </c>
    </row>
    <row r="16" spans="1:9" x14ac:dyDescent="0.35">
      <c r="A16" s="16">
        <v>1015</v>
      </c>
      <c r="B16" s="1" t="s">
        <v>8</v>
      </c>
      <c r="C16" s="1">
        <v>5</v>
      </c>
      <c r="D16" s="1" t="s">
        <v>9</v>
      </c>
      <c r="E16" s="1" t="s">
        <v>7</v>
      </c>
      <c r="F16" s="1" t="str">
        <f>VLOOKUP(B16,'PRODUCT MASTER1'!$A$1:$D$11,2)</f>
        <v>Refrigerator</v>
      </c>
      <c r="G16" s="1" t="str">
        <f>VLOOKUP(B16,'PRODUCT MASTER1'!$A$1:$D$11,3)</f>
        <v>Home Appliances</v>
      </c>
      <c r="H16" s="3">
        <f>VLOOKUP(B16,'PRODUCT MASTER1'!$A$1:$D$11,4)</f>
        <v>42000</v>
      </c>
      <c r="I16" s="4">
        <f t="shared" si="0"/>
        <v>210000</v>
      </c>
    </row>
    <row r="17" spans="1:9" x14ac:dyDescent="0.35">
      <c r="A17" s="16">
        <v>1016</v>
      </c>
      <c r="B17" s="1" t="s">
        <v>5</v>
      </c>
      <c r="C17" s="1">
        <v>7</v>
      </c>
      <c r="D17" s="1" t="s">
        <v>6</v>
      </c>
      <c r="E17" s="1" t="s">
        <v>13</v>
      </c>
      <c r="F17" s="1" t="str">
        <f>VLOOKUP(B17,'PRODUCT MASTER1'!$A$1:$D$11,2)</f>
        <v>Phone</v>
      </c>
      <c r="G17" s="1" t="str">
        <f>VLOOKUP(B17,'PRODUCT MASTER1'!$A$1:$D$11,3)</f>
        <v>Electronics</v>
      </c>
      <c r="H17" s="3">
        <f>VLOOKUP(B17,'PRODUCT MASTER1'!$A$1:$D$11,4)</f>
        <v>35000</v>
      </c>
      <c r="I17" s="4">
        <f t="shared" si="0"/>
        <v>245000</v>
      </c>
    </row>
    <row r="18" spans="1:9" x14ac:dyDescent="0.35">
      <c r="A18" s="16">
        <v>1017</v>
      </c>
      <c r="B18" s="1" t="s">
        <v>22</v>
      </c>
      <c r="C18" s="1">
        <v>3</v>
      </c>
      <c r="D18" s="1" t="s">
        <v>6</v>
      </c>
      <c r="E18" s="1" t="s">
        <v>19</v>
      </c>
      <c r="F18" s="1" t="str">
        <f>VLOOKUP(B18,'PRODUCT MASTER1'!$A$1:$D$11,2)</f>
        <v>Television</v>
      </c>
      <c r="G18" s="1" t="str">
        <f>VLOOKUP(B18,'PRODUCT MASTER1'!$A$1:$D$11,3)</f>
        <v>Electronics</v>
      </c>
      <c r="H18" s="3">
        <f>VLOOKUP(B18,'PRODUCT MASTER1'!$A$1:$D$11,4)</f>
        <v>45000</v>
      </c>
      <c r="I18" s="4">
        <f t="shared" si="0"/>
        <v>135000</v>
      </c>
    </row>
    <row r="19" spans="1:9" x14ac:dyDescent="0.35">
      <c r="A19" s="16">
        <v>1018</v>
      </c>
      <c r="B19" s="1" t="s">
        <v>8</v>
      </c>
      <c r="C19" s="1">
        <v>5</v>
      </c>
      <c r="D19" s="1" t="s">
        <v>9</v>
      </c>
      <c r="E19" s="1" t="s">
        <v>23</v>
      </c>
      <c r="F19" s="1" t="str">
        <f>VLOOKUP(B19,'PRODUCT MASTER1'!$A$1:$D$11,2)</f>
        <v>Refrigerator</v>
      </c>
      <c r="G19" s="1" t="str">
        <f>VLOOKUP(B19,'PRODUCT MASTER1'!$A$1:$D$11,3)</f>
        <v>Home Appliances</v>
      </c>
      <c r="H19" s="3">
        <f>VLOOKUP(B19,'PRODUCT MASTER1'!$A$1:$D$11,4)</f>
        <v>42000</v>
      </c>
      <c r="I19" s="4">
        <f t="shared" si="0"/>
        <v>210000</v>
      </c>
    </row>
    <row r="20" spans="1:9" x14ac:dyDescent="0.35">
      <c r="A20" s="16">
        <v>1019</v>
      </c>
      <c r="B20" s="1" t="s">
        <v>24</v>
      </c>
      <c r="C20" s="1">
        <v>4</v>
      </c>
      <c r="D20" s="1" t="s">
        <v>15</v>
      </c>
      <c r="E20" s="1" t="s">
        <v>13</v>
      </c>
      <c r="F20" s="1" t="str">
        <f>VLOOKUP(B20,'PRODUCT MASTER1'!$A$1:$D$11,2)</f>
        <v>Headphones</v>
      </c>
      <c r="G20" s="1" t="str">
        <f>VLOOKUP(B20,'PRODUCT MASTER1'!$A$1:$D$11,3)</f>
        <v>Electronics</v>
      </c>
      <c r="H20" s="3">
        <f>VLOOKUP(B20,'PRODUCT MASTER1'!$A$1:$D$11,4)</f>
        <v>3000</v>
      </c>
      <c r="I20" s="4">
        <f t="shared" si="0"/>
        <v>12000</v>
      </c>
    </row>
    <row r="21" spans="1:9" x14ac:dyDescent="0.35">
      <c r="A21" s="16">
        <v>1020</v>
      </c>
      <c r="B21" s="1" t="s">
        <v>17</v>
      </c>
      <c r="C21" s="1">
        <v>5</v>
      </c>
      <c r="D21" s="1" t="s">
        <v>12</v>
      </c>
      <c r="E21" s="1" t="s">
        <v>7</v>
      </c>
      <c r="F21" s="1" t="str">
        <f>VLOOKUP(B21,'PRODUCT MASTER1'!$A$1:$D$11,2)</f>
        <v>Bag</v>
      </c>
      <c r="G21" s="1" t="str">
        <f>VLOOKUP(B21,'PRODUCT MASTER1'!$A$1:$D$11,3)</f>
        <v>Accessories</v>
      </c>
      <c r="H21" s="3">
        <f>VLOOKUP(B21,'PRODUCT MASTER1'!$A$1:$D$11,4)</f>
        <v>1800</v>
      </c>
      <c r="I21" s="4">
        <f t="shared" si="0"/>
        <v>9000</v>
      </c>
    </row>
    <row r="22" spans="1:9" x14ac:dyDescent="0.35">
      <c r="A22" s="16">
        <v>1021</v>
      </c>
      <c r="B22" s="1" t="s">
        <v>22</v>
      </c>
      <c r="C22" s="1">
        <v>1</v>
      </c>
      <c r="D22" s="1" t="s">
        <v>15</v>
      </c>
      <c r="E22" s="1" t="s">
        <v>18</v>
      </c>
      <c r="F22" s="1" t="str">
        <f>VLOOKUP(B22,'PRODUCT MASTER1'!$A$1:$D$11,2)</f>
        <v>Television</v>
      </c>
      <c r="G22" s="1" t="str">
        <f>VLOOKUP(B22,'PRODUCT MASTER1'!$A$1:$D$11,3)</f>
        <v>Electronics</v>
      </c>
      <c r="H22" s="3">
        <f>VLOOKUP(B22,'PRODUCT MASTER1'!$A$1:$D$11,4)</f>
        <v>45000</v>
      </c>
      <c r="I22" s="4">
        <f t="shared" si="0"/>
        <v>45000</v>
      </c>
    </row>
    <row r="23" spans="1:9" x14ac:dyDescent="0.35">
      <c r="A23" s="16">
        <v>1022</v>
      </c>
      <c r="B23" s="1" t="s">
        <v>22</v>
      </c>
      <c r="C23" s="1">
        <v>7</v>
      </c>
      <c r="D23" s="1" t="s">
        <v>6</v>
      </c>
      <c r="E23" s="1" t="s">
        <v>18</v>
      </c>
      <c r="F23" s="1" t="str">
        <f>VLOOKUP(B23,'PRODUCT MASTER1'!$A$1:$D$11,2)</f>
        <v>Television</v>
      </c>
      <c r="G23" s="1" t="str">
        <f>VLOOKUP(B23,'PRODUCT MASTER1'!$A$1:$D$11,3)</f>
        <v>Electronics</v>
      </c>
      <c r="H23" s="3">
        <f>VLOOKUP(B23,'PRODUCT MASTER1'!$A$1:$D$11,4)</f>
        <v>45000</v>
      </c>
      <c r="I23" s="4">
        <f t="shared" si="0"/>
        <v>315000</v>
      </c>
    </row>
    <row r="24" spans="1:9" x14ac:dyDescent="0.35">
      <c r="A24" s="16">
        <v>1023</v>
      </c>
      <c r="B24" s="1" t="s">
        <v>8</v>
      </c>
      <c r="C24" s="1">
        <v>6</v>
      </c>
      <c r="D24" s="1" t="s">
        <v>15</v>
      </c>
      <c r="E24" s="1" t="s">
        <v>10</v>
      </c>
      <c r="F24" s="1" t="str">
        <f>VLOOKUP(B24,'PRODUCT MASTER1'!$A$1:$D$11,2)</f>
        <v>Refrigerator</v>
      </c>
      <c r="G24" s="1" t="str">
        <f>VLOOKUP(B24,'PRODUCT MASTER1'!$A$1:$D$11,3)</f>
        <v>Home Appliances</v>
      </c>
      <c r="H24" s="3">
        <f>VLOOKUP(B24,'PRODUCT MASTER1'!$A$1:$D$11,4)</f>
        <v>42000</v>
      </c>
      <c r="I24" s="4">
        <f t="shared" si="0"/>
        <v>252000</v>
      </c>
    </row>
    <row r="25" spans="1:9" x14ac:dyDescent="0.35">
      <c r="A25" s="16">
        <v>1024</v>
      </c>
      <c r="B25" s="1" t="s">
        <v>20</v>
      </c>
      <c r="C25" s="1">
        <v>7</v>
      </c>
      <c r="D25" s="1" t="s">
        <v>21</v>
      </c>
      <c r="E25" s="1" t="s">
        <v>7</v>
      </c>
      <c r="F25" s="1" t="str">
        <f>VLOOKUP(B25,'PRODUCT MASTER1'!$A$1:$D$11,2)</f>
        <v>Watch</v>
      </c>
      <c r="G25" s="1" t="str">
        <f>VLOOKUP(B25,'PRODUCT MASTER1'!$A$1:$D$11,3)</f>
        <v>Accessories</v>
      </c>
      <c r="H25" s="3">
        <f>VLOOKUP(B25,'PRODUCT MASTER1'!$A$1:$D$11,4)</f>
        <v>6000</v>
      </c>
      <c r="I25" s="4">
        <f t="shared" si="0"/>
        <v>42000</v>
      </c>
    </row>
    <row r="26" spans="1:9" x14ac:dyDescent="0.35">
      <c r="A26" s="16">
        <v>1025</v>
      </c>
      <c r="B26" s="1" t="s">
        <v>25</v>
      </c>
      <c r="C26" s="1">
        <v>3</v>
      </c>
      <c r="D26" s="1" t="s">
        <v>15</v>
      </c>
      <c r="E26" s="1" t="s">
        <v>10</v>
      </c>
      <c r="F26" s="1" t="str">
        <f>VLOOKUP(B26,'PRODUCT MASTER1'!$A$1:$D$11,2)</f>
        <v>Shoes</v>
      </c>
      <c r="G26" s="1" t="str">
        <f>VLOOKUP(B26,'PRODUCT MASTER1'!$A$1:$D$11,3)</f>
        <v>Fashion</v>
      </c>
      <c r="H26" s="3">
        <f>VLOOKUP(B26,'PRODUCT MASTER1'!$A$1:$D$11,4)</f>
        <v>2500</v>
      </c>
      <c r="I26" s="4">
        <f t="shared" si="0"/>
        <v>7500</v>
      </c>
    </row>
    <row r="27" spans="1:9" x14ac:dyDescent="0.35">
      <c r="A27" s="16">
        <v>1026</v>
      </c>
      <c r="B27" s="1" t="s">
        <v>11</v>
      </c>
      <c r="C27" s="1">
        <v>5</v>
      </c>
      <c r="D27" s="1" t="s">
        <v>12</v>
      </c>
      <c r="E27" s="1" t="s">
        <v>13</v>
      </c>
      <c r="F27" s="1" t="str">
        <f>VLOOKUP(B27,'PRODUCT MASTER1'!$A$1:$D$11,2)</f>
        <v>Microwave</v>
      </c>
      <c r="G27" s="1" t="str">
        <f>VLOOKUP(B27,'PRODUCT MASTER1'!$A$1:$D$11,3)</f>
        <v>Home Appliances</v>
      </c>
      <c r="H27" s="3">
        <f>VLOOKUP(B27,'PRODUCT MASTER1'!$A$1:$D$11,4)</f>
        <v>15000</v>
      </c>
      <c r="I27" s="4">
        <f t="shared" si="0"/>
        <v>75000</v>
      </c>
    </row>
    <row r="28" spans="1:9" x14ac:dyDescent="0.35">
      <c r="A28" s="16">
        <v>1027</v>
      </c>
      <c r="B28" s="1" t="s">
        <v>16</v>
      </c>
      <c r="C28" s="1">
        <v>7</v>
      </c>
      <c r="D28" s="1" t="s">
        <v>6</v>
      </c>
      <c r="E28" s="1" t="s">
        <v>7</v>
      </c>
      <c r="F28" s="1" t="str">
        <f>VLOOKUP(B28,'PRODUCT MASTER1'!$A$1:$D$11,2)</f>
        <v>Tablet</v>
      </c>
      <c r="G28" s="1" t="str">
        <f>VLOOKUP(B28,'PRODUCT MASTER1'!$A$1:$D$11,3)</f>
        <v>Electronics</v>
      </c>
      <c r="H28" s="3">
        <f>VLOOKUP(B28,'PRODUCT MASTER1'!$A$1:$D$11,4)</f>
        <v>28000</v>
      </c>
      <c r="I28" s="4">
        <f t="shared" si="0"/>
        <v>196000</v>
      </c>
    </row>
    <row r="29" spans="1:9" x14ac:dyDescent="0.35">
      <c r="A29" s="16">
        <v>1028</v>
      </c>
      <c r="B29" s="1" t="s">
        <v>24</v>
      </c>
      <c r="C29" s="1">
        <v>8</v>
      </c>
      <c r="D29" s="1" t="s">
        <v>9</v>
      </c>
      <c r="E29" s="1" t="s">
        <v>18</v>
      </c>
      <c r="F29" s="1" t="str">
        <f>VLOOKUP(B29,'PRODUCT MASTER1'!$A$1:$D$11,2)</f>
        <v>Headphones</v>
      </c>
      <c r="G29" s="1" t="str">
        <f>VLOOKUP(B29,'PRODUCT MASTER1'!$A$1:$D$11,3)</f>
        <v>Electronics</v>
      </c>
      <c r="H29" s="3">
        <f>VLOOKUP(B29,'PRODUCT MASTER1'!$A$1:$D$11,4)</f>
        <v>3000</v>
      </c>
      <c r="I29" s="4">
        <f t="shared" si="0"/>
        <v>24000</v>
      </c>
    </row>
    <row r="30" spans="1:9" x14ac:dyDescent="0.35">
      <c r="A30" s="16">
        <v>1029</v>
      </c>
      <c r="B30" s="1" t="s">
        <v>5</v>
      </c>
      <c r="C30" s="1">
        <v>3</v>
      </c>
      <c r="D30" s="1" t="s">
        <v>15</v>
      </c>
      <c r="E30" s="1" t="s">
        <v>10</v>
      </c>
      <c r="F30" s="1" t="str">
        <f>VLOOKUP(B30,'PRODUCT MASTER1'!$A$1:$D$11,2)</f>
        <v>Phone</v>
      </c>
      <c r="G30" s="1" t="str">
        <f>VLOOKUP(B30,'PRODUCT MASTER1'!$A$1:$D$11,3)</f>
        <v>Electronics</v>
      </c>
      <c r="H30" s="3">
        <f>VLOOKUP(B30,'PRODUCT MASTER1'!$A$1:$D$11,4)</f>
        <v>35000</v>
      </c>
      <c r="I30" s="4">
        <f t="shared" si="0"/>
        <v>105000</v>
      </c>
    </row>
    <row r="31" spans="1:9" x14ac:dyDescent="0.35">
      <c r="A31" s="16">
        <v>1030</v>
      </c>
      <c r="B31" s="1" t="s">
        <v>17</v>
      </c>
      <c r="C31" s="1">
        <v>2</v>
      </c>
      <c r="D31" s="1" t="s">
        <v>21</v>
      </c>
      <c r="E31" s="1" t="s">
        <v>13</v>
      </c>
      <c r="F31" s="1" t="str">
        <f>VLOOKUP(B31,'PRODUCT MASTER1'!$A$1:$D$11,2)</f>
        <v>Bag</v>
      </c>
      <c r="G31" s="1" t="str">
        <f>VLOOKUP(B31,'PRODUCT MASTER1'!$A$1:$D$11,3)</f>
        <v>Accessories</v>
      </c>
      <c r="H31" s="3">
        <f>VLOOKUP(B31,'PRODUCT MASTER1'!$A$1:$D$11,4)</f>
        <v>1800</v>
      </c>
      <c r="I31" s="4">
        <f t="shared" si="0"/>
        <v>3600</v>
      </c>
    </row>
    <row r="32" spans="1:9" x14ac:dyDescent="0.35">
      <c r="A32" s="16">
        <v>1031</v>
      </c>
      <c r="B32" s="1" t="s">
        <v>16</v>
      </c>
      <c r="C32" s="1">
        <v>8</v>
      </c>
      <c r="D32" s="1" t="s">
        <v>12</v>
      </c>
      <c r="E32" s="1" t="s">
        <v>19</v>
      </c>
      <c r="F32" s="1" t="str">
        <f>VLOOKUP(B32,'PRODUCT MASTER1'!$A$1:$D$11,2)</f>
        <v>Tablet</v>
      </c>
      <c r="G32" s="1" t="str">
        <f>VLOOKUP(B32,'PRODUCT MASTER1'!$A$1:$D$11,3)</f>
        <v>Electronics</v>
      </c>
      <c r="H32" s="3">
        <f>VLOOKUP(B32,'PRODUCT MASTER1'!$A$1:$D$11,4)</f>
        <v>28000</v>
      </c>
      <c r="I32" s="4">
        <f t="shared" si="0"/>
        <v>224000</v>
      </c>
    </row>
    <row r="33" spans="1:9" x14ac:dyDescent="0.35">
      <c r="A33" s="16">
        <v>1032</v>
      </c>
      <c r="B33" s="1" t="s">
        <v>11</v>
      </c>
      <c r="C33" s="1">
        <v>1</v>
      </c>
      <c r="D33" s="1" t="s">
        <v>9</v>
      </c>
      <c r="E33" s="1" t="s">
        <v>10</v>
      </c>
      <c r="F33" s="1" t="str">
        <f>VLOOKUP(B33,'PRODUCT MASTER1'!$A$1:$D$11,2)</f>
        <v>Microwave</v>
      </c>
      <c r="G33" s="1" t="str">
        <f>VLOOKUP(B33,'PRODUCT MASTER1'!$A$1:$D$11,3)</f>
        <v>Home Appliances</v>
      </c>
      <c r="H33" s="3">
        <f>VLOOKUP(B33,'PRODUCT MASTER1'!$A$1:$D$11,4)</f>
        <v>15000</v>
      </c>
      <c r="I33" s="4">
        <f t="shared" si="0"/>
        <v>15000</v>
      </c>
    </row>
    <row r="34" spans="1:9" x14ac:dyDescent="0.35">
      <c r="A34" s="16">
        <v>1033</v>
      </c>
      <c r="B34" s="1" t="s">
        <v>11</v>
      </c>
      <c r="C34" s="1">
        <v>5</v>
      </c>
      <c r="D34" s="1" t="s">
        <v>6</v>
      </c>
      <c r="E34" s="1" t="s">
        <v>18</v>
      </c>
      <c r="F34" s="1" t="str">
        <f>VLOOKUP(B34,'PRODUCT MASTER1'!$A$1:$D$11,2)</f>
        <v>Microwave</v>
      </c>
      <c r="G34" s="1" t="str">
        <f>VLOOKUP(B34,'PRODUCT MASTER1'!$A$1:$D$11,3)</f>
        <v>Home Appliances</v>
      </c>
      <c r="H34" s="3">
        <f>VLOOKUP(B34,'PRODUCT MASTER1'!$A$1:$D$11,4)</f>
        <v>15000</v>
      </c>
      <c r="I34" s="4">
        <f t="shared" si="0"/>
        <v>75000</v>
      </c>
    </row>
    <row r="35" spans="1:9" x14ac:dyDescent="0.35">
      <c r="A35" s="16">
        <v>1034</v>
      </c>
      <c r="B35" s="1" t="s">
        <v>25</v>
      </c>
      <c r="C35" s="1">
        <v>7</v>
      </c>
      <c r="D35" s="1" t="s">
        <v>15</v>
      </c>
      <c r="E35" s="1" t="s">
        <v>13</v>
      </c>
      <c r="F35" s="1" t="str">
        <f>VLOOKUP(B35,'PRODUCT MASTER1'!$A$1:$D$11,2)</f>
        <v>Shoes</v>
      </c>
      <c r="G35" s="1" t="str">
        <f>VLOOKUP(B35,'PRODUCT MASTER1'!$A$1:$D$11,3)</f>
        <v>Fashion</v>
      </c>
      <c r="H35" s="3">
        <f>VLOOKUP(B35,'PRODUCT MASTER1'!$A$1:$D$11,4)</f>
        <v>2500</v>
      </c>
      <c r="I35" s="4">
        <f t="shared" si="0"/>
        <v>17500</v>
      </c>
    </row>
    <row r="36" spans="1:9" x14ac:dyDescent="0.35">
      <c r="A36" s="16">
        <v>1035</v>
      </c>
      <c r="B36" s="1" t="s">
        <v>8</v>
      </c>
      <c r="C36" s="1">
        <v>5</v>
      </c>
      <c r="D36" s="1" t="s">
        <v>12</v>
      </c>
      <c r="E36" s="1" t="s">
        <v>7</v>
      </c>
      <c r="F36" s="1" t="str">
        <f>VLOOKUP(B36,'PRODUCT MASTER1'!$A$1:$D$11,2)</f>
        <v>Refrigerator</v>
      </c>
      <c r="G36" s="1" t="str">
        <f>VLOOKUP(B36,'PRODUCT MASTER1'!$A$1:$D$11,3)</f>
        <v>Home Appliances</v>
      </c>
      <c r="H36" s="3">
        <f>VLOOKUP(B36,'PRODUCT MASTER1'!$A$1:$D$11,4)</f>
        <v>42000</v>
      </c>
      <c r="I36" s="4">
        <f t="shared" si="0"/>
        <v>210000</v>
      </c>
    </row>
    <row r="37" spans="1:9" x14ac:dyDescent="0.35">
      <c r="A37" s="16">
        <v>1036</v>
      </c>
      <c r="B37" s="1" t="s">
        <v>11</v>
      </c>
      <c r="C37" s="1">
        <v>2</v>
      </c>
      <c r="D37" s="1" t="s">
        <v>6</v>
      </c>
      <c r="E37" s="1" t="s">
        <v>10</v>
      </c>
      <c r="F37" s="1" t="str">
        <f>VLOOKUP(B37,'PRODUCT MASTER1'!$A$1:$D$11,2)</f>
        <v>Microwave</v>
      </c>
      <c r="G37" s="1" t="str">
        <f>VLOOKUP(B37,'PRODUCT MASTER1'!$A$1:$D$11,3)</f>
        <v>Home Appliances</v>
      </c>
      <c r="H37" s="3">
        <f>VLOOKUP(B37,'PRODUCT MASTER1'!$A$1:$D$11,4)</f>
        <v>15000</v>
      </c>
      <c r="I37" s="4">
        <f t="shared" si="0"/>
        <v>30000</v>
      </c>
    </row>
    <row r="38" spans="1:9" x14ac:dyDescent="0.35">
      <c r="A38" s="16">
        <v>1037</v>
      </c>
      <c r="B38" s="1" t="s">
        <v>11</v>
      </c>
      <c r="C38" s="1">
        <v>4</v>
      </c>
      <c r="D38" s="1" t="s">
        <v>15</v>
      </c>
      <c r="E38" s="1" t="s">
        <v>19</v>
      </c>
      <c r="F38" s="1" t="str">
        <f>VLOOKUP(B38,'PRODUCT MASTER1'!$A$1:$D$11,2)</f>
        <v>Microwave</v>
      </c>
      <c r="G38" s="1" t="str">
        <f>VLOOKUP(B38,'PRODUCT MASTER1'!$A$1:$D$11,3)</f>
        <v>Home Appliances</v>
      </c>
      <c r="H38" s="3">
        <f>VLOOKUP(B38,'PRODUCT MASTER1'!$A$1:$D$11,4)</f>
        <v>15000</v>
      </c>
      <c r="I38" s="4">
        <f t="shared" si="0"/>
        <v>60000</v>
      </c>
    </row>
    <row r="39" spans="1:9" x14ac:dyDescent="0.35">
      <c r="A39" s="16">
        <v>1038</v>
      </c>
      <c r="B39" s="1" t="s">
        <v>24</v>
      </c>
      <c r="C39" s="1">
        <v>1</v>
      </c>
      <c r="D39" s="1" t="s">
        <v>12</v>
      </c>
      <c r="E39" s="1" t="s">
        <v>19</v>
      </c>
      <c r="F39" s="1" t="str">
        <f>VLOOKUP(B39,'PRODUCT MASTER1'!$A$1:$D$11,2)</f>
        <v>Headphones</v>
      </c>
      <c r="G39" s="1" t="str">
        <f>VLOOKUP(B39,'PRODUCT MASTER1'!$A$1:$D$11,3)</f>
        <v>Electronics</v>
      </c>
      <c r="H39" s="3">
        <f>VLOOKUP(B39,'PRODUCT MASTER1'!$A$1:$D$11,4)</f>
        <v>3000</v>
      </c>
      <c r="I39" s="4">
        <f t="shared" si="0"/>
        <v>3000</v>
      </c>
    </row>
    <row r="40" spans="1:9" x14ac:dyDescent="0.35">
      <c r="A40" s="16">
        <v>1039</v>
      </c>
      <c r="B40" s="1" t="s">
        <v>20</v>
      </c>
      <c r="C40" s="1">
        <v>1</v>
      </c>
      <c r="D40" s="1" t="s">
        <v>9</v>
      </c>
      <c r="E40" s="1" t="s">
        <v>19</v>
      </c>
      <c r="F40" s="1" t="str">
        <f>VLOOKUP(B40,'PRODUCT MASTER1'!$A$1:$D$11,2)</f>
        <v>Watch</v>
      </c>
      <c r="G40" s="1" t="str">
        <f>VLOOKUP(B40,'PRODUCT MASTER1'!$A$1:$D$11,3)</f>
        <v>Accessories</v>
      </c>
      <c r="H40" s="3">
        <f>VLOOKUP(B40,'PRODUCT MASTER1'!$A$1:$D$11,4)</f>
        <v>6000</v>
      </c>
      <c r="I40" s="4">
        <f t="shared" si="0"/>
        <v>6000</v>
      </c>
    </row>
    <row r="41" spans="1:9" x14ac:dyDescent="0.35">
      <c r="A41" s="16">
        <v>1040</v>
      </c>
      <c r="B41" s="1" t="s">
        <v>25</v>
      </c>
      <c r="C41" s="1">
        <v>4</v>
      </c>
      <c r="D41" s="1" t="s">
        <v>9</v>
      </c>
      <c r="E41" s="1" t="s">
        <v>7</v>
      </c>
      <c r="F41" s="1" t="str">
        <f>VLOOKUP(B41,'PRODUCT MASTER1'!$A$1:$D$11,2)</f>
        <v>Shoes</v>
      </c>
      <c r="G41" s="1" t="str">
        <f>VLOOKUP(B41,'PRODUCT MASTER1'!$A$1:$D$11,3)</f>
        <v>Fashion</v>
      </c>
      <c r="H41" s="3">
        <f>VLOOKUP(B41,'PRODUCT MASTER1'!$A$1:$D$11,4)</f>
        <v>2500</v>
      </c>
      <c r="I41" s="4">
        <f t="shared" si="0"/>
        <v>10000</v>
      </c>
    </row>
    <row r="42" spans="1:9" x14ac:dyDescent="0.35">
      <c r="A42" s="16">
        <v>1041</v>
      </c>
      <c r="B42" s="1" t="s">
        <v>16</v>
      </c>
      <c r="C42" s="1">
        <v>2</v>
      </c>
      <c r="D42" s="1" t="s">
        <v>9</v>
      </c>
      <c r="E42" s="1" t="s">
        <v>10</v>
      </c>
      <c r="F42" s="1" t="str">
        <f>VLOOKUP(B42,'PRODUCT MASTER1'!$A$1:$D$11,2)</f>
        <v>Tablet</v>
      </c>
      <c r="G42" s="1" t="str">
        <f>VLOOKUP(B42,'PRODUCT MASTER1'!$A$1:$D$11,3)</f>
        <v>Electronics</v>
      </c>
      <c r="H42" s="3">
        <f>VLOOKUP(B42,'PRODUCT MASTER1'!$A$1:$D$11,4)</f>
        <v>28000</v>
      </c>
      <c r="I42" s="4">
        <f t="shared" si="0"/>
        <v>56000</v>
      </c>
    </row>
    <row r="43" spans="1:9" x14ac:dyDescent="0.35">
      <c r="A43" s="16">
        <v>1042</v>
      </c>
      <c r="B43" s="1" t="s">
        <v>20</v>
      </c>
      <c r="C43" s="1">
        <v>2</v>
      </c>
      <c r="D43" s="1" t="s">
        <v>12</v>
      </c>
      <c r="E43" s="1" t="s">
        <v>7</v>
      </c>
      <c r="F43" s="1" t="str">
        <f>VLOOKUP(B43,'PRODUCT MASTER1'!$A$1:$D$11,2)</f>
        <v>Watch</v>
      </c>
      <c r="G43" s="1" t="str">
        <f>VLOOKUP(B43,'PRODUCT MASTER1'!$A$1:$D$11,3)</f>
        <v>Accessories</v>
      </c>
      <c r="H43" s="3">
        <f>VLOOKUP(B43,'PRODUCT MASTER1'!$A$1:$D$11,4)</f>
        <v>6000</v>
      </c>
      <c r="I43" s="4">
        <f t="shared" si="0"/>
        <v>12000</v>
      </c>
    </row>
    <row r="44" spans="1:9" x14ac:dyDescent="0.35">
      <c r="A44" s="16">
        <v>1043</v>
      </c>
      <c r="B44" s="1" t="s">
        <v>24</v>
      </c>
      <c r="C44" s="1">
        <v>8</v>
      </c>
      <c r="D44" s="1" t="s">
        <v>12</v>
      </c>
      <c r="E44" s="1" t="s">
        <v>7</v>
      </c>
      <c r="F44" s="1" t="str">
        <f>VLOOKUP(B44,'PRODUCT MASTER1'!$A$1:$D$11,2)</f>
        <v>Headphones</v>
      </c>
      <c r="G44" s="1" t="str">
        <f>VLOOKUP(B44,'PRODUCT MASTER1'!$A$1:$D$11,3)</f>
        <v>Electronics</v>
      </c>
      <c r="H44" s="3">
        <f>VLOOKUP(B44,'PRODUCT MASTER1'!$A$1:$D$11,4)</f>
        <v>3000</v>
      </c>
      <c r="I44" s="4">
        <f t="shared" si="0"/>
        <v>24000</v>
      </c>
    </row>
    <row r="45" spans="1:9" x14ac:dyDescent="0.35">
      <c r="A45" s="16">
        <v>1044</v>
      </c>
      <c r="B45" s="1" t="s">
        <v>25</v>
      </c>
      <c r="C45" s="1">
        <v>7</v>
      </c>
      <c r="D45" s="1" t="s">
        <v>15</v>
      </c>
      <c r="E45" s="1" t="s">
        <v>23</v>
      </c>
      <c r="F45" s="1" t="str">
        <f>VLOOKUP(B45,'PRODUCT MASTER1'!$A$1:$D$11,2)</f>
        <v>Shoes</v>
      </c>
      <c r="G45" s="1" t="str">
        <f>VLOOKUP(B45,'PRODUCT MASTER1'!$A$1:$D$11,3)</f>
        <v>Fashion</v>
      </c>
      <c r="H45" s="3">
        <f>VLOOKUP(B45,'PRODUCT MASTER1'!$A$1:$D$11,4)</f>
        <v>2500</v>
      </c>
      <c r="I45" s="4">
        <f t="shared" si="0"/>
        <v>17500</v>
      </c>
    </row>
    <row r="46" spans="1:9" x14ac:dyDescent="0.35">
      <c r="A46" s="16">
        <v>1045</v>
      </c>
      <c r="B46" s="1" t="s">
        <v>8</v>
      </c>
      <c r="C46" s="1">
        <v>5</v>
      </c>
      <c r="D46" s="1" t="s">
        <v>21</v>
      </c>
      <c r="E46" s="1" t="s">
        <v>10</v>
      </c>
      <c r="F46" s="1" t="str">
        <f>VLOOKUP(B46,'PRODUCT MASTER1'!$A$1:$D$11,2)</f>
        <v>Refrigerator</v>
      </c>
      <c r="G46" s="1" t="str">
        <f>VLOOKUP(B46,'PRODUCT MASTER1'!$A$1:$D$11,3)</f>
        <v>Home Appliances</v>
      </c>
      <c r="H46" s="3">
        <f>VLOOKUP(B46,'PRODUCT MASTER1'!$A$1:$D$11,4)</f>
        <v>42000</v>
      </c>
      <c r="I46" s="4">
        <f t="shared" si="0"/>
        <v>210000</v>
      </c>
    </row>
    <row r="47" spans="1:9" x14ac:dyDescent="0.35">
      <c r="A47" s="16">
        <v>1046</v>
      </c>
      <c r="B47" s="1" t="s">
        <v>22</v>
      </c>
      <c r="C47" s="1">
        <v>8</v>
      </c>
      <c r="D47" s="1" t="s">
        <v>12</v>
      </c>
      <c r="E47" s="1" t="s">
        <v>13</v>
      </c>
      <c r="F47" s="1" t="str">
        <f>VLOOKUP(B47,'PRODUCT MASTER1'!$A$1:$D$11,2)</f>
        <v>Television</v>
      </c>
      <c r="G47" s="1" t="str">
        <f>VLOOKUP(B47,'PRODUCT MASTER1'!$A$1:$D$11,3)</f>
        <v>Electronics</v>
      </c>
      <c r="H47" s="3">
        <f>VLOOKUP(B47,'PRODUCT MASTER1'!$A$1:$D$11,4)</f>
        <v>45000</v>
      </c>
      <c r="I47" s="4">
        <f t="shared" si="0"/>
        <v>360000</v>
      </c>
    </row>
    <row r="48" spans="1:9" x14ac:dyDescent="0.35">
      <c r="A48" s="16">
        <v>1047</v>
      </c>
      <c r="B48" s="1" t="s">
        <v>5</v>
      </c>
      <c r="C48" s="1">
        <v>4</v>
      </c>
      <c r="D48" s="1" t="s">
        <v>15</v>
      </c>
      <c r="E48" s="1" t="s">
        <v>18</v>
      </c>
      <c r="F48" s="1" t="str">
        <f>VLOOKUP(B48,'PRODUCT MASTER1'!$A$1:$D$11,2)</f>
        <v>Phone</v>
      </c>
      <c r="G48" s="1" t="str">
        <f>VLOOKUP(B48,'PRODUCT MASTER1'!$A$1:$D$11,3)</f>
        <v>Electronics</v>
      </c>
      <c r="H48" s="3">
        <f>VLOOKUP(B48,'PRODUCT MASTER1'!$A$1:$D$11,4)</f>
        <v>35000</v>
      </c>
      <c r="I48" s="4">
        <f t="shared" si="0"/>
        <v>140000</v>
      </c>
    </row>
    <row r="49" spans="1:9" x14ac:dyDescent="0.35">
      <c r="A49" s="16">
        <v>1048</v>
      </c>
      <c r="B49" s="1" t="s">
        <v>22</v>
      </c>
      <c r="C49" s="1">
        <v>1</v>
      </c>
      <c r="D49" s="1" t="s">
        <v>12</v>
      </c>
      <c r="E49" s="1" t="s">
        <v>23</v>
      </c>
      <c r="F49" s="1" t="str">
        <f>VLOOKUP(B49,'PRODUCT MASTER1'!$A$1:$D$11,2)</f>
        <v>Television</v>
      </c>
      <c r="G49" s="1" t="str">
        <f>VLOOKUP(B49,'PRODUCT MASTER1'!$A$1:$D$11,3)</f>
        <v>Electronics</v>
      </c>
      <c r="H49" s="3">
        <f>VLOOKUP(B49,'PRODUCT MASTER1'!$A$1:$D$11,4)</f>
        <v>45000</v>
      </c>
      <c r="I49" s="4">
        <f t="shared" si="0"/>
        <v>45000</v>
      </c>
    </row>
    <row r="50" spans="1:9" x14ac:dyDescent="0.35">
      <c r="A50" s="16">
        <v>1049</v>
      </c>
      <c r="B50" s="1" t="s">
        <v>8</v>
      </c>
      <c r="C50" s="1">
        <v>4</v>
      </c>
      <c r="D50" s="1" t="s">
        <v>9</v>
      </c>
      <c r="E50" s="1" t="s">
        <v>18</v>
      </c>
      <c r="F50" s="1" t="str">
        <f>VLOOKUP(B50,'PRODUCT MASTER1'!$A$1:$D$11,2)</f>
        <v>Refrigerator</v>
      </c>
      <c r="G50" s="1" t="str">
        <f>VLOOKUP(B50,'PRODUCT MASTER1'!$A$1:$D$11,3)</f>
        <v>Home Appliances</v>
      </c>
      <c r="H50" s="3">
        <f>VLOOKUP(B50,'PRODUCT MASTER1'!$A$1:$D$11,4)</f>
        <v>42000</v>
      </c>
      <c r="I50" s="4">
        <f t="shared" si="0"/>
        <v>168000</v>
      </c>
    </row>
    <row r="51" spans="1:9" x14ac:dyDescent="0.35">
      <c r="A51" s="16">
        <v>1050</v>
      </c>
      <c r="B51" s="1" t="s">
        <v>16</v>
      </c>
      <c r="C51" s="1">
        <v>4</v>
      </c>
      <c r="D51" s="1" t="s">
        <v>9</v>
      </c>
      <c r="E51" s="1" t="s">
        <v>18</v>
      </c>
      <c r="F51" s="1" t="str">
        <f>VLOOKUP(B51,'PRODUCT MASTER1'!$A$1:$D$11,2)</f>
        <v>Tablet</v>
      </c>
      <c r="G51" s="1" t="str">
        <f>VLOOKUP(B51,'PRODUCT MASTER1'!$A$1:$D$11,3)</f>
        <v>Electronics</v>
      </c>
      <c r="H51" s="3">
        <f>VLOOKUP(B51,'PRODUCT MASTER1'!$A$1:$D$11,4)</f>
        <v>28000</v>
      </c>
      <c r="I51" s="4">
        <f t="shared" si="0"/>
        <v>112000</v>
      </c>
    </row>
    <row r="52" spans="1:9" x14ac:dyDescent="0.35">
      <c r="A52" s="16">
        <v>1051</v>
      </c>
      <c r="B52" s="1" t="s">
        <v>22</v>
      </c>
      <c r="C52" s="1">
        <v>2</v>
      </c>
      <c r="D52" s="1" t="s">
        <v>12</v>
      </c>
      <c r="E52" s="1" t="s">
        <v>7</v>
      </c>
      <c r="F52" s="1" t="str">
        <f>VLOOKUP(B52,'PRODUCT MASTER1'!$A$1:$D$11,2)</f>
        <v>Television</v>
      </c>
      <c r="G52" s="1" t="str">
        <f>VLOOKUP(B52,'PRODUCT MASTER1'!$A$1:$D$11,3)</f>
        <v>Electronics</v>
      </c>
      <c r="H52" s="3">
        <f>VLOOKUP(B52,'PRODUCT MASTER1'!$A$1:$D$11,4)</f>
        <v>45000</v>
      </c>
      <c r="I52" s="4">
        <f t="shared" si="0"/>
        <v>90000</v>
      </c>
    </row>
    <row r="53" spans="1:9" x14ac:dyDescent="0.35">
      <c r="A53" s="16">
        <v>1052</v>
      </c>
      <c r="B53" s="1" t="s">
        <v>25</v>
      </c>
      <c r="C53" s="1">
        <v>8</v>
      </c>
      <c r="D53" s="1" t="s">
        <v>15</v>
      </c>
      <c r="E53" s="1" t="s">
        <v>23</v>
      </c>
      <c r="F53" s="1" t="str">
        <f>VLOOKUP(B53,'PRODUCT MASTER1'!$A$1:$D$11,2)</f>
        <v>Shoes</v>
      </c>
      <c r="G53" s="1" t="str">
        <f>VLOOKUP(B53,'PRODUCT MASTER1'!$A$1:$D$11,3)</f>
        <v>Fashion</v>
      </c>
      <c r="H53" s="3">
        <f>VLOOKUP(B53,'PRODUCT MASTER1'!$A$1:$D$11,4)</f>
        <v>2500</v>
      </c>
      <c r="I53" s="4">
        <f t="shared" si="0"/>
        <v>20000</v>
      </c>
    </row>
    <row r="54" spans="1:9" x14ac:dyDescent="0.35">
      <c r="A54" s="16">
        <v>1053</v>
      </c>
      <c r="B54" s="1" t="s">
        <v>24</v>
      </c>
      <c r="C54" s="1">
        <v>8</v>
      </c>
      <c r="D54" s="1" t="s">
        <v>15</v>
      </c>
      <c r="E54" s="1" t="s">
        <v>13</v>
      </c>
      <c r="F54" s="1" t="str">
        <f>VLOOKUP(B54,'PRODUCT MASTER1'!$A$1:$D$11,2)</f>
        <v>Headphones</v>
      </c>
      <c r="G54" s="1" t="str">
        <f>VLOOKUP(B54,'PRODUCT MASTER1'!$A$1:$D$11,3)</f>
        <v>Electronics</v>
      </c>
      <c r="H54" s="3">
        <f>VLOOKUP(B54,'PRODUCT MASTER1'!$A$1:$D$11,4)</f>
        <v>3000</v>
      </c>
      <c r="I54" s="4">
        <f t="shared" si="0"/>
        <v>24000</v>
      </c>
    </row>
    <row r="55" spans="1:9" x14ac:dyDescent="0.35">
      <c r="A55" s="16">
        <v>1054</v>
      </c>
      <c r="B55" s="1" t="s">
        <v>17</v>
      </c>
      <c r="C55" s="1">
        <v>4</v>
      </c>
      <c r="D55" s="1" t="s">
        <v>9</v>
      </c>
      <c r="E55" s="1" t="s">
        <v>18</v>
      </c>
      <c r="F55" s="1" t="str">
        <f>VLOOKUP(B55,'PRODUCT MASTER1'!$A$1:$D$11,2)</f>
        <v>Bag</v>
      </c>
      <c r="G55" s="1" t="str">
        <f>VLOOKUP(B55,'PRODUCT MASTER1'!$A$1:$D$11,3)</f>
        <v>Accessories</v>
      </c>
      <c r="H55" s="3">
        <f>VLOOKUP(B55,'PRODUCT MASTER1'!$A$1:$D$11,4)</f>
        <v>1800</v>
      </c>
      <c r="I55" s="4">
        <f t="shared" si="0"/>
        <v>7200</v>
      </c>
    </row>
    <row r="56" spans="1:9" x14ac:dyDescent="0.35">
      <c r="A56" s="16">
        <v>1055</v>
      </c>
      <c r="B56" s="1" t="s">
        <v>17</v>
      </c>
      <c r="C56" s="1">
        <v>6</v>
      </c>
      <c r="D56" s="1" t="s">
        <v>21</v>
      </c>
      <c r="E56" s="1" t="s">
        <v>13</v>
      </c>
      <c r="F56" s="1" t="str">
        <f>VLOOKUP(B56,'PRODUCT MASTER1'!$A$1:$D$11,2)</f>
        <v>Bag</v>
      </c>
      <c r="G56" s="1" t="str">
        <f>VLOOKUP(B56,'PRODUCT MASTER1'!$A$1:$D$11,3)</f>
        <v>Accessories</v>
      </c>
      <c r="H56" s="3">
        <f>VLOOKUP(B56,'PRODUCT MASTER1'!$A$1:$D$11,4)</f>
        <v>1800</v>
      </c>
      <c r="I56" s="4">
        <f t="shared" si="0"/>
        <v>10800</v>
      </c>
    </row>
    <row r="57" spans="1:9" x14ac:dyDescent="0.35">
      <c r="A57" s="16">
        <v>1056</v>
      </c>
      <c r="B57" s="1" t="s">
        <v>20</v>
      </c>
      <c r="C57" s="1">
        <v>1</v>
      </c>
      <c r="D57" s="1" t="s">
        <v>9</v>
      </c>
      <c r="E57" s="1" t="s">
        <v>18</v>
      </c>
      <c r="F57" s="1" t="str">
        <f>VLOOKUP(B57,'PRODUCT MASTER1'!$A$1:$D$11,2)</f>
        <v>Watch</v>
      </c>
      <c r="G57" s="1" t="str">
        <f>VLOOKUP(B57,'PRODUCT MASTER1'!$A$1:$D$11,3)</f>
        <v>Accessories</v>
      </c>
      <c r="H57" s="3">
        <f>VLOOKUP(B57,'PRODUCT MASTER1'!$A$1:$D$11,4)</f>
        <v>6000</v>
      </c>
      <c r="I57" s="4">
        <f t="shared" si="0"/>
        <v>6000</v>
      </c>
    </row>
    <row r="58" spans="1:9" x14ac:dyDescent="0.35">
      <c r="A58" s="16">
        <v>1057</v>
      </c>
      <c r="B58" s="1" t="s">
        <v>17</v>
      </c>
      <c r="C58" s="1">
        <v>6</v>
      </c>
      <c r="D58" s="1" t="s">
        <v>9</v>
      </c>
      <c r="E58" s="1" t="s">
        <v>7</v>
      </c>
      <c r="F58" s="1" t="str">
        <f>VLOOKUP(B58,'PRODUCT MASTER1'!$A$1:$D$11,2)</f>
        <v>Bag</v>
      </c>
      <c r="G58" s="1" t="str">
        <f>VLOOKUP(B58,'PRODUCT MASTER1'!$A$1:$D$11,3)</f>
        <v>Accessories</v>
      </c>
      <c r="H58" s="3">
        <f>VLOOKUP(B58,'PRODUCT MASTER1'!$A$1:$D$11,4)</f>
        <v>1800</v>
      </c>
      <c r="I58" s="4">
        <f t="shared" si="0"/>
        <v>10800</v>
      </c>
    </row>
    <row r="59" spans="1:9" x14ac:dyDescent="0.35">
      <c r="A59" s="16">
        <v>1058</v>
      </c>
      <c r="B59" s="1" t="s">
        <v>8</v>
      </c>
      <c r="C59" s="1">
        <v>4</v>
      </c>
      <c r="D59" s="1" t="s">
        <v>12</v>
      </c>
      <c r="E59" s="1" t="s">
        <v>13</v>
      </c>
      <c r="F59" s="1" t="str">
        <f>VLOOKUP(B59,'PRODUCT MASTER1'!$A$1:$D$11,2)</f>
        <v>Refrigerator</v>
      </c>
      <c r="G59" s="1" t="str">
        <f>VLOOKUP(B59,'PRODUCT MASTER1'!$A$1:$D$11,3)</f>
        <v>Home Appliances</v>
      </c>
      <c r="H59" s="3">
        <f>VLOOKUP(B59,'PRODUCT MASTER1'!$A$1:$D$11,4)</f>
        <v>42000</v>
      </c>
      <c r="I59" s="4">
        <f t="shared" si="0"/>
        <v>168000</v>
      </c>
    </row>
    <row r="60" spans="1:9" x14ac:dyDescent="0.35">
      <c r="A60" s="16">
        <v>1059</v>
      </c>
      <c r="B60" s="1" t="s">
        <v>24</v>
      </c>
      <c r="C60" s="1">
        <v>7</v>
      </c>
      <c r="D60" s="1" t="s">
        <v>15</v>
      </c>
      <c r="E60" s="1" t="s">
        <v>19</v>
      </c>
      <c r="F60" s="1" t="str">
        <f>VLOOKUP(B60,'PRODUCT MASTER1'!$A$1:$D$11,2)</f>
        <v>Headphones</v>
      </c>
      <c r="G60" s="1" t="str">
        <f>VLOOKUP(B60,'PRODUCT MASTER1'!$A$1:$D$11,3)</f>
        <v>Electronics</v>
      </c>
      <c r="H60" s="3">
        <f>VLOOKUP(B60,'PRODUCT MASTER1'!$A$1:$D$11,4)</f>
        <v>3000</v>
      </c>
      <c r="I60" s="4">
        <f t="shared" si="0"/>
        <v>21000</v>
      </c>
    </row>
    <row r="61" spans="1:9" x14ac:dyDescent="0.35">
      <c r="A61" s="16">
        <v>1060</v>
      </c>
      <c r="B61" s="1" t="s">
        <v>20</v>
      </c>
      <c r="C61" s="1">
        <v>4</v>
      </c>
      <c r="D61" s="1" t="s">
        <v>9</v>
      </c>
      <c r="E61" s="1" t="s">
        <v>13</v>
      </c>
      <c r="F61" s="1" t="str">
        <f>VLOOKUP(B61,'PRODUCT MASTER1'!$A$1:$D$11,2)</f>
        <v>Watch</v>
      </c>
      <c r="G61" s="1" t="str">
        <f>VLOOKUP(B61,'PRODUCT MASTER1'!$A$1:$D$11,3)</f>
        <v>Accessories</v>
      </c>
      <c r="H61" s="3">
        <f>VLOOKUP(B61,'PRODUCT MASTER1'!$A$1:$D$11,4)</f>
        <v>6000</v>
      </c>
      <c r="I61" s="4">
        <f t="shared" si="0"/>
        <v>24000</v>
      </c>
    </row>
    <row r="62" spans="1:9" x14ac:dyDescent="0.35">
      <c r="A62" s="16">
        <v>1061</v>
      </c>
      <c r="B62" s="1" t="s">
        <v>11</v>
      </c>
      <c r="C62" s="1">
        <v>2</v>
      </c>
      <c r="D62" s="1" t="s">
        <v>9</v>
      </c>
      <c r="E62" s="1" t="s">
        <v>10</v>
      </c>
      <c r="F62" s="1" t="str">
        <f>VLOOKUP(B62,'PRODUCT MASTER1'!$A$1:$D$11,2)</f>
        <v>Microwave</v>
      </c>
      <c r="G62" s="1" t="str">
        <f>VLOOKUP(B62,'PRODUCT MASTER1'!$A$1:$D$11,3)</f>
        <v>Home Appliances</v>
      </c>
      <c r="H62" s="3">
        <f>VLOOKUP(B62,'PRODUCT MASTER1'!$A$1:$D$11,4)</f>
        <v>15000</v>
      </c>
      <c r="I62" s="4">
        <f t="shared" si="0"/>
        <v>30000</v>
      </c>
    </row>
    <row r="63" spans="1:9" x14ac:dyDescent="0.35">
      <c r="A63" s="16">
        <v>1062</v>
      </c>
      <c r="B63" s="1" t="s">
        <v>11</v>
      </c>
      <c r="C63" s="1">
        <v>1</v>
      </c>
      <c r="D63" s="1" t="s">
        <v>9</v>
      </c>
      <c r="E63" s="1" t="s">
        <v>7</v>
      </c>
      <c r="F63" s="1" t="str">
        <f>VLOOKUP(B63,'PRODUCT MASTER1'!$A$1:$D$11,2)</f>
        <v>Microwave</v>
      </c>
      <c r="G63" s="1" t="str">
        <f>VLOOKUP(B63,'PRODUCT MASTER1'!$A$1:$D$11,3)</f>
        <v>Home Appliances</v>
      </c>
      <c r="H63" s="3">
        <f>VLOOKUP(B63,'PRODUCT MASTER1'!$A$1:$D$11,4)</f>
        <v>15000</v>
      </c>
      <c r="I63" s="4">
        <f t="shared" si="0"/>
        <v>15000</v>
      </c>
    </row>
    <row r="64" spans="1:9" x14ac:dyDescent="0.35">
      <c r="A64" s="16">
        <v>1063</v>
      </c>
      <c r="B64" s="1" t="s">
        <v>24</v>
      </c>
      <c r="C64" s="1">
        <v>7</v>
      </c>
      <c r="D64" s="1" t="s">
        <v>21</v>
      </c>
      <c r="E64" s="1" t="s">
        <v>13</v>
      </c>
      <c r="F64" s="1" t="str">
        <f>VLOOKUP(B64,'PRODUCT MASTER1'!$A$1:$D$11,2)</f>
        <v>Headphones</v>
      </c>
      <c r="G64" s="1" t="str">
        <f>VLOOKUP(B64,'PRODUCT MASTER1'!$A$1:$D$11,3)</f>
        <v>Electronics</v>
      </c>
      <c r="H64" s="3">
        <f>VLOOKUP(B64,'PRODUCT MASTER1'!$A$1:$D$11,4)</f>
        <v>3000</v>
      </c>
      <c r="I64" s="4">
        <f t="shared" si="0"/>
        <v>21000</v>
      </c>
    </row>
    <row r="65" spans="1:9" x14ac:dyDescent="0.35">
      <c r="A65" s="16">
        <v>1064</v>
      </c>
      <c r="B65" s="1" t="s">
        <v>8</v>
      </c>
      <c r="C65" s="1">
        <v>7</v>
      </c>
      <c r="D65" s="1" t="s">
        <v>9</v>
      </c>
      <c r="E65" s="1" t="s">
        <v>7</v>
      </c>
      <c r="F65" s="1" t="str">
        <f>VLOOKUP(B65,'PRODUCT MASTER1'!$A$1:$D$11,2)</f>
        <v>Refrigerator</v>
      </c>
      <c r="G65" s="1" t="str">
        <f>VLOOKUP(B65,'PRODUCT MASTER1'!$A$1:$D$11,3)</f>
        <v>Home Appliances</v>
      </c>
      <c r="H65" s="3">
        <f>VLOOKUP(B65,'PRODUCT MASTER1'!$A$1:$D$11,4)</f>
        <v>42000</v>
      </c>
      <c r="I65" s="4">
        <f t="shared" si="0"/>
        <v>294000</v>
      </c>
    </row>
    <row r="66" spans="1:9" x14ac:dyDescent="0.35">
      <c r="A66" s="16">
        <v>1065</v>
      </c>
      <c r="B66" s="1" t="s">
        <v>17</v>
      </c>
      <c r="C66" s="1">
        <v>1</v>
      </c>
      <c r="D66" s="1" t="s">
        <v>21</v>
      </c>
      <c r="E66" s="1" t="s">
        <v>19</v>
      </c>
      <c r="F66" s="1" t="str">
        <f>VLOOKUP(B66,'PRODUCT MASTER1'!$A$1:$D$11,2)</f>
        <v>Bag</v>
      </c>
      <c r="G66" s="1" t="str">
        <f>VLOOKUP(B66,'PRODUCT MASTER1'!$A$1:$D$11,3)</f>
        <v>Accessories</v>
      </c>
      <c r="H66" s="3">
        <f>VLOOKUP(B66,'PRODUCT MASTER1'!$A$1:$D$11,4)</f>
        <v>1800</v>
      </c>
      <c r="I66" s="4">
        <f t="shared" si="0"/>
        <v>1800</v>
      </c>
    </row>
    <row r="67" spans="1:9" x14ac:dyDescent="0.35">
      <c r="A67" s="16">
        <v>1066</v>
      </c>
      <c r="B67" s="1" t="s">
        <v>20</v>
      </c>
      <c r="C67" s="1">
        <v>5</v>
      </c>
      <c r="D67" s="1" t="s">
        <v>21</v>
      </c>
      <c r="E67" s="1" t="s">
        <v>10</v>
      </c>
      <c r="F67" s="1" t="str">
        <f>VLOOKUP(B67,'PRODUCT MASTER1'!$A$1:$D$11,2)</f>
        <v>Watch</v>
      </c>
      <c r="G67" s="1" t="str">
        <f>VLOOKUP(B67,'PRODUCT MASTER1'!$A$1:$D$11,3)</f>
        <v>Accessories</v>
      </c>
      <c r="H67" s="3">
        <f>VLOOKUP(B67,'PRODUCT MASTER1'!$A$1:$D$11,4)</f>
        <v>6000</v>
      </c>
      <c r="I67" s="4">
        <f t="shared" ref="I67:I101" si="1">C67*H67</f>
        <v>30000</v>
      </c>
    </row>
    <row r="68" spans="1:9" x14ac:dyDescent="0.35">
      <c r="A68" s="16">
        <v>1067</v>
      </c>
      <c r="B68" s="1" t="s">
        <v>11</v>
      </c>
      <c r="C68" s="1">
        <v>8</v>
      </c>
      <c r="D68" s="1" t="s">
        <v>15</v>
      </c>
      <c r="E68" s="1" t="s">
        <v>7</v>
      </c>
      <c r="F68" s="1" t="str">
        <f>VLOOKUP(B68,'PRODUCT MASTER1'!$A$1:$D$11,2)</f>
        <v>Microwave</v>
      </c>
      <c r="G68" s="1" t="str">
        <f>VLOOKUP(B68,'PRODUCT MASTER1'!$A$1:$D$11,3)</f>
        <v>Home Appliances</v>
      </c>
      <c r="H68" s="3">
        <f>VLOOKUP(B68,'PRODUCT MASTER1'!$A$1:$D$11,4)</f>
        <v>15000</v>
      </c>
      <c r="I68" s="4">
        <f t="shared" si="1"/>
        <v>120000</v>
      </c>
    </row>
    <row r="69" spans="1:9" x14ac:dyDescent="0.35">
      <c r="A69" s="16">
        <v>1068</v>
      </c>
      <c r="B69" s="1" t="s">
        <v>25</v>
      </c>
      <c r="C69" s="1">
        <v>4</v>
      </c>
      <c r="D69" s="1" t="s">
        <v>9</v>
      </c>
      <c r="E69" s="1" t="s">
        <v>23</v>
      </c>
      <c r="F69" s="1" t="str">
        <f>VLOOKUP(B69,'PRODUCT MASTER1'!$A$1:$D$11,2)</f>
        <v>Shoes</v>
      </c>
      <c r="G69" s="1" t="str">
        <f>VLOOKUP(B69,'PRODUCT MASTER1'!$A$1:$D$11,3)</f>
        <v>Fashion</v>
      </c>
      <c r="H69" s="3">
        <f>VLOOKUP(B69,'PRODUCT MASTER1'!$A$1:$D$11,4)</f>
        <v>2500</v>
      </c>
      <c r="I69" s="4">
        <f t="shared" si="1"/>
        <v>10000</v>
      </c>
    </row>
    <row r="70" spans="1:9" x14ac:dyDescent="0.35">
      <c r="A70" s="16">
        <v>1069</v>
      </c>
      <c r="B70" s="1" t="s">
        <v>11</v>
      </c>
      <c r="C70" s="1">
        <v>1</v>
      </c>
      <c r="D70" s="1" t="s">
        <v>6</v>
      </c>
      <c r="E70" s="1" t="s">
        <v>18</v>
      </c>
      <c r="F70" s="1" t="str">
        <f>VLOOKUP(B70,'PRODUCT MASTER1'!$A$1:$D$11,2)</f>
        <v>Microwave</v>
      </c>
      <c r="G70" s="1" t="str">
        <f>VLOOKUP(B70,'PRODUCT MASTER1'!$A$1:$D$11,3)</f>
        <v>Home Appliances</v>
      </c>
      <c r="H70" s="3">
        <f>VLOOKUP(B70,'PRODUCT MASTER1'!$A$1:$D$11,4)</f>
        <v>15000</v>
      </c>
      <c r="I70" s="4">
        <f t="shared" si="1"/>
        <v>15000</v>
      </c>
    </row>
    <row r="71" spans="1:9" x14ac:dyDescent="0.35">
      <c r="A71" s="16">
        <v>1070</v>
      </c>
      <c r="B71" s="1" t="s">
        <v>24</v>
      </c>
      <c r="C71" s="1">
        <v>8</v>
      </c>
      <c r="D71" s="1" t="s">
        <v>12</v>
      </c>
      <c r="E71" s="1" t="s">
        <v>23</v>
      </c>
      <c r="F71" s="1" t="str">
        <f>VLOOKUP(B71,'PRODUCT MASTER1'!$A$1:$D$11,2)</f>
        <v>Headphones</v>
      </c>
      <c r="G71" s="1" t="str">
        <f>VLOOKUP(B71,'PRODUCT MASTER1'!$A$1:$D$11,3)</f>
        <v>Electronics</v>
      </c>
      <c r="H71" s="3">
        <f>VLOOKUP(B71,'PRODUCT MASTER1'!$A$1:$D$11,4)</f>
        <v>3000</v>
      </c>
      <c r="I71" s="4">
        <f t="shared" si="1"/>
        <v>24000</v>
      </c>
    </row>
    <row r="72" spans="1:9" x14ac:dyDescent="0.35">
      <c r="A72" s="16">
        <v>1071</v>
      </c>
      <c r="B72" s="1" t="s">
        <v>24</v>
      </c>
      <c r="C72" s="1">
        <v>1</v>
      </c>
      <c r="D72" s="1" t="s">
        <v>12</v>
      </c>
      <c r="E72" s="1" t="s">
        <v>18</v>
      </c>
      <c r="F72" s="1" t="str">
        <f>VLOOKUP(B72,'PRODUCT MASTER1'!$A$1:$D$11,2)</f>
        <v>Headphones</v>
      </c>
      <c r="G72" s="1" t="str">
        <f>VLOOKUP(B72,'PRODUCT MASTER1'!$A$1:$D$11,3)</f>
        <v>Electronics</v>
      </c>
      <c r="H72" s="3">
        <f>VLOOKUP(B72,'PRODUCT MASTER1'!$A$1:$D$11,4)</f>
        <v>3000</v>
      </c>
      <c r="I72" s="4">
        <f t="shared" si="1"/>
        <v>3000</v>
      </c>
    </row>
    <row r="73" spans="1:9" x14ac:dyDescent="0.35">
      <c r="A73" s="16">
        <v>1072</v>
      </c>
      <c r="B73" s="1" t="s">
        <v>24</v>
      </c>
      <c r="C73" s="1">
        <v>2</v>
      </c>
      <c r="D73" s="1" t="s">
        <v>12</v>
      </c>
      <c r="E73" s="1" t="s">
        <v>18</v>
      </c>
      <c r="F73" s="1" t="str">
        <f>VLOOKUP(B73,'PRODUCT MASTER1'!$A$1:$D$11,2)</f>
        <v>Headphones</v>
      </c>
      <c r="G73" s="1" t="str">
        <f>VLOOKUP(B73,'PRODUCT MASTER1'!$A$1:$D$11,3)</f>
        <v>Electronics</v>
      </c>
      <c r="H73" s="3">
        <f>VLOOKUP(B73,'PRODUCT MASTER1'!$A$1:$D$11,4)</f>
        <v>3000</v>
      </c>
      <c r="I73" s="4">
        <f t="shared" si="1"/>
        <v>6000</v>
      </c>
    </row>
    <row r="74" spans="1:9" x14ac:dyDescent="0.35">
      <c r="A74" s="16">
        <v>1073</v>
      </c>
      <c r="B74" s="1" t="s">
        <v>8</v>
      </c>
      <c r="C74" s="1">
        <v>7</v>
      </c>
      <c r="D74" s="1" t="s">
        <v>9</v>
      </c>
      <c r="E74" s="1" t="s">
        <v>23</v>
      </c>
      <c r="F74" s="1" t="str">
        <f>VLOOKUP(B74,'PRODUCT MASTER1'!$A$1:$D$11,2)</f>
        <v>Refrigerator</v>
      </c>
      <c r="G74" s="1" t="str">
        <f>VLOOKUP(B74,'PRODUCT MASTER1'!$A$1:$D$11,3)</f>
        <v>Home Appliances</v>
      </c>
      <c r="H74" s="3">
        <f>VLOOKUP(B74,'PRODUCT MASTER1'!$A$1:$D$11,4)</f>
        <v>42000</v>
      </c>
      <c r="I74" s="4">
        <f t="shared" si="1"/>
        <v>294000</v>
      </c>
    </row>
    <row r="75" spans="1:9" x14ac:dyDescent="0.35">
      <c r="A75" s="16">
        <v>1074</v>
      </c>
      <c r="B75" s="1" t="s">
        <v>8</v>
      </c>
      <c r="C75" s="1">
        <v>1</v>
      </c>
      <c r="D75" s="1" t="s">
        <v>12</v>
      </c>
      <c r="E75" s="1" t="s">
        <v>18</v>
      </c>
      <c r="F75" s="1" t="str">
        <f>VLOOKUP(B75,'PRODUCT MASTER1'!$A$1:$D$11,2)</f>
        <v>Refrigerator</v>
      </c>
      <c r="G75" s="1" t="str">
        <f>VLOOKUP(B75,'PRODUCT MASTER1'!$A$1:$D$11,3)</f>
        <v>Home Appliances</v>
      </c>
      <c r="H75" s="3">
        <f>VLOOKUP(B75,'PRODUCT MASTER1'!$A$1:$D$11,4)</f>
        <v>42000</v>
      </c>
      <c r="I75" s="4">
        <f t="shared" si="1"/>
        <v>42000</v>
      </c>
    </row>
    <row r="76" spans="1:9" x14ac:dyDescent="0.35">
      <c r="A76" s="16">
        <v>1075</v>
      </c>
      <c r="B76" s="1" t="s">
        <v>17</v>
      </c>
      <c r="C76" s="1">
        <v>6</v>
      </c>
      <c r="D76" s="1" t="s">
        <v>6</v>
      </c>
      <c r="E76" s="1" t="s">
        <v>7</v>
      </c>
      <c r="F76" s="1" t="str">
        <f>VLOOKUP(B76,'PRODUCT MASTER1'!$A$1:$D$11,2)</f>
        <v>Bag</v>
      </c>
      <c r="G76" s="1" t="str">
        <f>VLOOKUP(B76,'PRODUCT MASTER1'!$A$1:$D$11,3)</f>
        <v>Accessories</v>
      </c>
      <c r="H76" s="3">
        <f>VLOOKUP(B76,'PRODUCT MASTER1'!$A$1:$D$11,4)</f>
        <v>1800</v>
      </c>
      <c r="I76" s="4">
        <f t="shared" si="1"/>
        <v>10800</v>
      </c>
    </row>
    <row r="77" spans="1:9" x14ac:dyDescent="0.35">
      <c r="A77" s="16">
        <v>1076</v>
      </c>
      <c r="B77" s="1" t="s">
        <v>22</v>
      </c>
      <c r="C77" s="1">
        <v>4</v>
      </c>
      <c r="D77" s="1" t="s">
        <v>6</v>
      </c>
      <c r="E77" s="1" t="s">
        <v>13</v>
      </c>
      <c r="F77" s="1" t="str">
        <f>VLOOKUP(B77,'PRODUCT MASTER1'!$A$1:$D$11,2)</f>
        <v>Television</v>
      </c>
      <c r="G77" s="1" t="str">
        <f>VLOOKUP(B77,'PRODUCT MASTER1'!$A$1:$D$11,3)</f>
        <v>Electronics</v>
      </c>
      <c r="H77" s="3">
        <f>VLOOKUP(B77,'PRODUCT MASTER1'!$A$1:$D$11,4)</f>
        <v>45000</v>
      </c>
      <c r="I77" s="4">
        <f t="shared" si="1"/>
        <v>180000</v>
      </c>
    </row>
    <row r="78" spans="1:9" x14ac:dyDescent="0.35">
      <c r="A78" s="16">
        <v>1077</v>
      </c>
      <c r="B78" s="1" t="s">
        <v>24</v>
      </c>
      <c r="C78" s="1">
        <v>5</v>
      </c>
      <c r="D78" s="1" t="s">
        <v>21</v>
      </c>
      <c r="E78" s="1" t="s">
        <v>19</v>
      </c>
      <c r="F78" s="1" t="str">
        <f>VLOOKUP(B78,'PRODUCT MASTER1'!$A$1:$D$11,2)</f>
        <v>Headphones</v>
      </c>
      <c r="G78" s="1" t="str">
        <f>VLOOKUP(B78,'PRODUCT MASTER1'!$A$1:$D$11,3)</f>
        <v>Electronics</v>
      </c>
      <c r="H78" s="3">
        <f>VLOOKUP(B78,'PRODUCT MASTER1'!$A$1:$D$11,4)</f>
        <v>3000</v>
      </c>
      <c r="I78" s="4">
        <f t="shared" si="1"/>
        <v>15000</v>
      </c>
    </row>
    <row r="79" spans="1:9" x14ac:dyDescent="0.35">
      <c r="A79" s="16">
        <v>1078</v>
      </c>
      <c r="B79" s="1" t="s">
        <v>5</v>
      </c>
      <c r="C79" s="1">
        <v>1</v>
      </c>
      <c r="D79" s="1" t="s">
        <v>21</v>
      </c>
      <c r="E79" s="1" t="s">
        <v>23</v>
      </c>
      <c r="F79" s="1" t="str">
        <f>VLOOKUP(B79,'PRODUCT MASTER1'!$A$1:$D$11,2)</f>
        <v>Phone</v>
      </c>
      <c r="G79" s="1" t="str">
        <f>VLOOKUP(B79,'PRODUCT MASTER1'!$A$1:$D$11,3)</f>
        <v>Electronics</v>
      </c>
      <c r="H79" s="3">
        <f>VLOOKUP(B79,'PRODUCT MASTER1'!$A$1:$D$11,4)</f>
        <v>35000</v>
      </c>
      <c r="I79" s="4">
        <f t="shared" si="1"/>
        <v>35000</v>
      </c>
    </row>
    <row r="80" spans="1:9" x14ac:dyDescent="0.35">
      <c r="A80" s="16">
        <v>1079</v>
      </c>
      <c r="B80" s="1" t="s">
        <v>16</v>
      </c>
      <c r="C80" s="1">
        <v>2</v>
      </c>
      <c r="D80" s="1" t="s">
        <v>9</v>
      </c>
      <c r="E80" s="1" t="s">
        <v>23</v>
      </c>
      <c r="F80" s="1" t="str">
        <f>VLOOKUP(B80,'PRODUCT MASTER1'!$A$1:$D$11,2)</f>
        <v>Tablet</v>
      </c>
      <c r="G80" s="1" t="str">
        <f>VLOOKUP(B80,'PRODUCT MASTER1'!$A$1:$D$11,3)</f>
        <v>Electronics</v>
      </c>
      <c r="H80" s="3">
        <f>VLOOKUP(B80,'PRODUCT MASTER1'!$A$1:$D$11,4)</f>
        <v>28000</v>
      </c>
      <c r="I80" s="4">
        <f t="shared" si="1"/>
        <v>56000</v>
      </c>
    </row>
    <row r="81" spans="1:9" x14ac:dyDescent="0.35">
      <c r="A81" s="16">
        <v>1080</v>
      </c>
      <c r="B81" s="1" t="s">
        <v>8</v>
      </c>
      <c r="C81" s="1">
        <v>5</v>
      </c>
      <c r="D81" s="1" t="s">
        <v>15</v>
      </c>
      <c r="E81" s="1" t="s">
        <v>19</v>
      </c>
      <c r="F81" s="1" t="str">
        <f>VLOOKUP(B81,'PRODUCT MASTER1'!$A$1:$D$11,2)</f>
        <v>Refrigerator</v>
      </c>
      <c r="G81" s="1" t="str">
        <f>VLOOKUP(B81,'PRODUCT MASTER1'!$A$1:$D$11,3)</f>
        <v>Home Appliances</v>
      </c>
      <c r="H81" s="3">
        <f>VLOOKUP(B81,'PRODUCT MASTER1'!$A$1:$D$11,4)</f>
        <v>42000</v>
      </c>
      <c r="I81" s="4">
        <f t="shared" si="1"/>
        <v>210000</v>
      </c>
    </row>
    <row r="82" spans="1:9" x14ac:dyDescent="0.35">
      <c r="A82" s="16">
        <v>1081</v>
      </c>
      <c r="B82" s="1" t="s">
        <v>5</v>
      </c>
      <c r="C82" s="1">
        <v>4</v>
      </c>
      <c r="D82" s="1" t="s">
        <v>6</v>
      </c>
      <c r="E82" s="1" t="s">
        <v>19</v>
      </c>
      <c r="F82" s="1" t="str">
        <f>VLOOKUP(B82,'PRODUCT MASTER1'!$A$1:$D$11,2)</f>
        <v>Phone</v>
      </c>
      <c r="G82" s="1" t="str">
        <f>VLOOKUP(B82,'PRODUCT MASTER1'!$A$1:$D$11,3)</f>
        <v>Electronics</v>
      </c>
      <c r="H82" s="3">
        <f>VLOOKUP(B82,'PRODUCT MASTER1'!$A$1:$D$11,4)</f>
        <v>35000</v>
      </c>
      <c r="I82" s="4">
        <f t="shared" si="1"/>
        <v>140000</v>
      </c>
    </row>
    <row r="83" spans="1:9" x14ac:dyDescent="0.35">
      <c r="A83" s="16">
        <v>1082</v>
      </c>
      <c r="B83" s="1" t="s">
        <v>24</v>
      </c>
      <c r="C83" s="1">
        <v>8</v>
      </c>
      <c r="D83" s="1" t="s">
        <v>12</v>
      </c>
      <c r="E83" s="1" t="s">
        <v>10</v>
      </c>
      <c r="F83" s="1" t="str">
        <f>VLOOKUP(B83,'PRODUCT MASTER1'!$A$1:$D$11,2)</f>
        <v>Headphones</v>
      </c>
      <c r="G83" s="1" t="str">
        <f>VLOOKUP(B83,'PRODUCT MASTER1'!$A$1:$D$11,3)</f>
        <v>Electronics</v>
      </c>
      <c r="H83" s="3">
        <f>VLOOKUP(B83,'PRODUCT MASTER1'!$A$1:$D$11,4)</f>
        <v>3000</v>
      </c>
      <c r="I83" s="4">
        <f t="shared" si="1"/>
        <v>24000</v>
      </c>
    </row>
    <row r="84" spans="1:9" x14ac:dyDescent="0.35">
      <c r="A84" s="16">
        <v>1083</v>
      </c>
      <c r="B84" s="1" t="s">
        <v>25</v>
      </c>
      <c r="C84" s="1">
        <v>1</v>
      </c>
      <c r="D84" s="1" t="s">
        <v>12</v>
      </c>
      <c r="E84" s="1" t="s">
        <v>19</v>
      </c>
      <c r="F84" s="1" t="str">
        <f>VLOOKUP(B84,'PRODUCT MASTER1'!$A$1:$D$11,2)</f>
        <v>Shoes</v>
      </c>
      <c r="G84" s="1" t="str">
        <f>VLOOKUP(B84,'PRODUCT MASTER1'!$A$1:$D$11,3)</f>
        <v>Fashion</v>
      </c>
      <c r="H84" s="3">
        <f>VLOOKUP(B84,'PRODUCT MASTER1'!$A$1:$D$11,4)</f>
        <v>2500</v>
      </c>
      <c r="I84" s="4">
        <f t="shared" si="1"/>
        <v>2500</v>
      </c>
    </row>
    <row r="85" spans="1:9" x14ac:dyDescent="0.35">
      <c r="A85" s="16">
        <v>1084</v>
      </c>
      <c r="B85" s="1" t="s">
        <v>5</v>
      </c>
      <c r="C85" s="1">
        <v>3</v>
      </c>
      <c r="D85" s="1" t="s">
        <v>6</v>
      </c>
      <c r="E85" s="1" t="s">
        <v>18</v>
      </c>
      <c r="F85" s="1" t="str">
        <f>VLOOKUP(B85,'PRODUCT MASTER1'!$A$1:$D$11,2)</f>
        <v>Phone</v>
      </c>
      <c r="G85" s="1" t="str">
        <f>VLOOKUP(B85,'PRODUCT MASTER1'!$A$1:$D$11,3)</f>
        <v>Electronics</v>
      </c>
      <c r="H85" s="3">
        <f>VLOOKUP(B85,'PRODUCT MASTER1'!$A$1:$D$11,4)</f>
        <v>35000</v>
      </c>
      <c r="I85" s="4">
        <f t="shared" si="1"/>
        <v>105000</v>
      </c>
    </row>
    <row r="86" spans="1:9" x14ac:dyDescent="0.35">
      <c r="A86" s="16">
        <v>1085</v>
      </c>
      <c r="B86" s="1" t="s">
        <v>5</v>
      </c>
      <c r="C86" s="1">
        <v>3</v>
      </c>
      <c r="D86" s="1" t="s">
        <v>6</v>
      </c>
      <c r="E86" s="1" t="s">
        <v>19</v>
      </c>
      <c r="F86" s="1" t="str">
        <f>VLOOKUP(B86,'PRODUCT MASTER1'!$A$1:$D$11,2)</f>
        <v>Phone</v>
      </c>
      <c r="G86" s="1" t="str">
        <f>VLOOKUP(B86,'PRODUCT MASTER1'!$A$1:$D$11,3)</f>
        <v>Electronics</v>
      </c>
      <c r="H86" s="3">
        <f>VLOOKUP(B86,'PRODUCT MASTER1'!$A$1:$D$11,4)</f>
        <v>35000</v>
      </c>
      <c r="I86" s="4">
        <f t="shared" si="1"/>
        <v>105000</v>
      </c>
    </row>
    <row r="87" spans="1:9" x14ac:dyDescent="0.35">
      <c r="A87" s="16">
        <v>1086</v>
      </c>
      <c r="B87" s="1" t="s">
        <v>16</v>
      </c>
      <c r="C87" s="1">
        <v>4</v>
      </c>
      <c r="D87" s="1" t="s">
        <v>6</v>
      </c>
      <c r="E87" s="1" t="s">
        <v>7</v>
      </c>
      <c r="F87" s="1" t="str">
        <f>VLOOKUP(B87,'PRODUCT MASTER1'!$A$1:$D$11,2)</f>
        <v>Tablet</v>
      </c>
      <c r="G87" s="1" t="str">
        <f>VLOOKUP(B87,'PRODUCT MASTER1'!$A$1:$D$11,3)</f>
        <v>Electronics</v>
      </c>
      <c r="H87" s="3">
        <f>VLOOKUP(B87,'PRODUCT MASTER1'!$A$1:$D$11,4)</f>
        <v>28000</v>
      </c>
      <c r="I87" s="4">
        <f t="shared" si="1"/>
        <v>112000</v>
      </c>
    </row>
    <row r="88" spans="1:9" x14ac:dyDescent="0.35">
      <c r="A88" s="16">
        <v>1087</v>
      </c>
      <c r="B88" s="1" t="s">
        <v>25</v>
      </c>
      <c r="C88" s="1">
        <v>8</v>
      </c>
      <c r="D88" s="1" t="s">
        <v>6</v>
      </c>
      <c r="E88" s="1" t="s">
        <v>18</v>
      </c>
      <c r="F88" s="1" t="str">
        <f>VLOOKUP(B88,'PRODUCT MASTER1'!$A$1:$D$11,2)</f>
        <v>Shoes</v>
      </c>
      <c r="G88" s="1" t="str">
        <f>VLOOKUP(B88,'PRODUCT MASTER1'!$A$1:$D$11,3)</f>
        <v>Fashion</v>
      </c>
      <c r="H88" s="3">
        <f>VLOOKUP(B88,'PRODUCT MASTER1'!$A$1:$D$11,4)</f>
        <v>2500</v>
      </c>
      <c r="I88" s="4">
        <f t="shared" si="1"/>
        <v>20000</v>
      </c>
    </row>
    <row r="89" spans="1:9" x14ac:dyDescent="0.35">
      <c r="A89" s="16">
        <v>1088</v>
      </c>
      <c r="B89" s="1" t="s">
        <v>5</v>
      </c>
      <c r="C89" s="1">
        <v>7</v>
      </c>
      <c r="D89" s="1" t="s">
        <v>6</v>
      </c>
      <c r="E89" s="1" t="s">
        <v>18</v>
      </c>
      <c r="F89" s="1" t="str">
        <f>VLOOKUP(B89,'PRODUCT MASTER1'!$A$1:$D$11,2)</f>
        <v>Phone</v>
      </c>
      <c r="G89" s="1" t="str">
        <f>VLOOKUP(B89,'PRODUCT MASTER1'!$A$1:$D$11,3)</f>
        <v>Electronics</v>
      </c>
      <c r="H89" s="3">
        <f>VLOOKUP(B89,'PRODUCT MASTER1'!$A$1:$D$11,4)</f>
        <v>35000</v>
      </c>
      <c r="I89" s="4">
        <f t="shared" si="1"/>
        <v>245000</v>
      </c>
    </row>
    <row r="90" spans="1:9" x14ac:dyDescent="0.35">
      <c r="A90" s="16">
        <v>1089</v>
      </c>
      <c r="B90" s="1" t="s">
        <v>17</v>
      </c>
      <c r="C90" s="1">
        <v>6</v>
      </c>
      <c r="D90" s="1" t="s">
        <v>15</v>
      </c>
      <c r="E90" s="1" t="s">
        <v>10</v>
      </c>
      <c r="F90" s="1" t="str">
        <f>VLOOKUP(B90,'PRODUCT MASTER1'!$A$1:$D$11,2)</f>
        <v>Bag</v>
      </c>
      <c r="G90" s="1" t="str">
        <f>VLOOKUP(B90,'PRODUCT MASTER1'!$A$1:$D$11,3)</f>
        <v>Accessories</v>
      </c>
      <c r="H90" s="3">
        <f>VLOOKUP(B90,'PRODUCT MASTER1'!$A$1:$D$11,4)</f>
        <v>1800</v>
      </c>
      <c r="I90" s="4">
        <f t="shared" si="1"/>
        <v>10800</v>
      </c>
    </row>
    <row r="91" spans="1:9" x14ac:dyDescent="0.35">
      <c r="A91" s="16">
        <v>1090</v>
      </c>
      <c r="B91" s="1" t="s">
        <v>25</v>
      </c>
      <c r="C91" s="1">
        <v>3</v>
      </c>
      <c r="D91" s="1" t="s">
        <v>21</v>
      </c>
      <c r="E91" s="1" t="s">
        <v>23</v>
      </c>
      <c r="F91" s="1" t="str">
        <f>VLOOKUP(B91,'PRODUCT MASTER1'!$A$1:$D$11,2)</f>
        <v>Shoes</v>
      </c>
      <c r="G91" s="1" t="str">
        <f>VLOOKUP(B91,'PRODUCT MASTER1'!$A$1:$D$11,3)</f>
        <v>Fashion</v>
      </c>
      <c r="H91" s="3">
        <f>VLOOKUP(B91,'PRODUCT MASTER1'!$A$1:$D$11,4)</f>
        <v>2500</v>
      </c>
      <c r="I91" s="4">
        <f t="shared" si="1"/>
        <v>7500</v>
      </c>
    </row>
    <row r="92" spans="1:9" x14ac:dyDescent="0.35">
      <c r="A92" s="16">
        <v>1091</v>
      </c>
      <c r="B92" s="1" t="s">
        <v>17</v>
      </c>
      <c r="C92" s="1">
        <v>1</v>
      </c>
      <c r="D92" s="1" t="s">
        <v>9</v>
      </c>
      <c r="E92" s="1" t="s">
        <v>18</v>
      </c>
      <c r="F92" s="1" t="str">
        <f>VLOOKUP(B92,'PRODUCT MASTER1'!$A$1:$D$11,2)</f>
        <v>Bag</v>
      </c>
      <c r="G92" s="1" t="str">
        <f>VLOOKUP(B92,'PRODUCT MASTER1'!$A$1:$D$11,3)</f>
        <v>Accessories</v>
      </c>
      <c r="H92" s="3">
        <f>VLOOKUP(B92,'PRODUCT MASTER1'!$A$1:$D$11,4)</f>
        <v>1800</v>
      </c>
      <c r="I92" s="4">
        <f t="shared" si="1"/>
        <v>1800</v>
      </c>
    </row>
    <row r="93" spans="1:9" x14ac:dyDescent="0.35">
      <c r="A93" s="16">
        <v>1092</v>
      </c>
      <c r="B93" s="1" t="s">
        <v>24</v>
      </c>
      <c r="C93" s="1">
        <v>1</v>
      </c>
      <c r="D93" s="1" t="s">
        <v>6</v>
      </c>
      <c r="E93" s="1" t="s">
        <v>23</v>
      </c>
      <c r="F93" s="1" t="str">
        <f>VLOOKUP(B93,'PRODUCT MASTER1'!$A$1:$D$11,2)</f>
        <v>Headphones</v>
      </c>
      <c r="G93" s="1" t="str">
        <f>VLOOKUP(B93,'PRODUCT MASTER1'!$A$1:$D$11,3)</f>
        <v>Electronics</v>
      </c>
      <c r="H93" s="3">
        <f>VLOOKUP(B93,'PRODUCT MASTER1'!$A$1:$D$11,4)</f>
        <v>3000</v>
      </c>
      <c r="I93" s="4">
        <f t="shared" si="1"/>
        <v>3000</v>
      </c>
    </row>
    <row r="94" spans="1:9" x14ac:dyDescent="0.35">
      <c r="A94" s="16">
        <v>1093</v>
      </c>
      <c r="B94" s="1" t="s">
        <v>11</v>
      </c>
      <c r="C94" s="1">
        <v>3</v>
      </c>
      <c r="D94" s="1" t="s">
        <v>21</v>
      </c>
      <c r="E94" s="1" t="s">
        <v>7</v>
      </c>
      <c r="F94" s="1" t="str">
        <f>VLOOKUP(B94,'PRODUCT MASTER1'!$A$1:$D$11,2)</f>
        <v>Microwave</v>
      </c>
      <c r="G94" s="1" t="str">
        <f>VLOOKUP(B94,'PRODUCT MASTER1'!$A$1:$D$11,3)</f>
        <v>Home Appliances</v>
      </c>
      <c r="H94" s="3">
        <f>VLOOKUP(B94,'PRODUCT MASTER1'!$A$1:$D$11,4)</f>
        <v>15000</v>
      </c>
      <c r="I94" s="4">
        <f t="shared" si="1"/>
        <v>45000</v>
      </c>
    </row>
    <row r="95" spans="1:9" x14ac:dyDescent="0.35">
      <c r="A95" s="16">
        <v>1094</v>
      </c>
      <c r="B95" s="1" t="s">
        <v>8</v>
      </c>
      <c r="C95" s="1">
        <v>5</v>
      </c>
      <c r="D95" s="1" t="s">
        <v>6</v>
      </c>
      <c r="E95" s="1" t="s">
        <v>18</v>
      </c>
      <c r="F95" s="1" t="str">
        <f>VLOOKUP(B95,'PRODUCT MASTER1'!$A$1:$D$11,2)</f>
        <v>Refrigerator</v>
      </c>
      <c r="G95" s="1" t="str">
        <f>VLOOKUP(B95,'PRODUCT MASTER1'!$A$1:$D$11,3)</f>
        <v>Home Appliances</v>
      </c>
      <c r="H95" s="3">
        <f>VLOOKUP(B95,'PRODUCT MASTER1'!$A$1:$D$11,4)</f>
        <v>42000</v>
      </c>
      <c r="I95" s="4">
        <f>C95*H95</f>
        <v>210000</v>
      </c>
    </row>
    <row r="96" spans="1:9" x14ac:dyDescent="0.35">
      <c r="A96" s="16">
        <v>1095</v>
      </c>
      <c r="B96" s="1" t="s">
        <v>22</v>
      </c>
      <c r="C96" s="1">
        <v>4</v>
      </c>
      <c r="D96" s="1" t="s">
        <v>15</v>
      </c>
      <c r="E96" s="1" t="s">
        <v>10</v>
      </c>
      <c r="F96" s="1" t="str">
        <f>VLOOKUP(B96,'PRODUCT MASTER1'!$A$1:$D$11,2)</f>
        <v>Television</v>
      </c>
      <c r="G96" s="1" t="str">
        <f>VLOOKUP(B96,'PRODUCT MASTER1'!$A$1:$D$11,3)</f>
        <v>Electronics</v>
      </c>
      <c r="H96" s="3">
        <f>VLOOKUP(B96,'PRODUCT MASTER1'!$A$1:$D$11,4)</f>
        <v>45000</v>
      </c>
      <c r="I96" s="4">
        <f t="shared" si="1"/>
        <v>180000</v>
      </c>
    </row>
    <row r="97" spans="1:9" x14ac:dyDescent="0.35">
      <c r="A97" s="16">
        <v>1096</v>
      </c>
      <c r="B97" s="1" t="s">
        <v>5</v>
      </c>
      <c r="C97" s="1">
        <v>6</v>
      </c>
      <c r="D97" s="1" t="s">
        <v>12</v>
      </c>
      <c r="E97" s="1" t="s">
        <v>13</v>
      </c>
      <c r="F97" s="1" t="str">
        <f>VLOOKUP(B97,'PRODUCT MASTER1'!$A$1:$D$11,2)</f>
        <v>Phone</v>
      </c>
      <c r="G97" s="1" t="str">
        <f>VLOOKUP(B97,'PRODUCT MASTER1'!$A$1:$D$11,3)</f>
        <v>Electronics</v>
      </c>
      <c r="H97" s="3">
        <f>VLOOKUP(B97,'PRODUCT MASTER1'!$A$1:$D$11,4)</f>
        <v>35000</v>
      </c>
      <c r="I97" s="4">
        <f t="shared" si="1"/>
        <v>210000</v>
      </c>
    </row>
    <row r="98" spans="1:9" x14ac:dyDescent="0.35">
      <c r="A98" s="16">
        <v>1097</v>
      </c>
      <c r="B98" s="1" t="s">
        <v>16</v>
      </c>
      <c r="C98" s="1">
        <v>3</v>
      </c>
      <c r="D98" s="1" t="s">
        <v>15</v>
      </c>
      <c r="E98" s="1" t="s">
        <v>7</v>
      </c>
      <c r="F98" s="1" t="str">
        <f>VLOOKUP(B98,'PRODUCT MASTER1'!$A$1:$D$11,2)</f>
        <v>Tablet</v>
      </c>
      <c r="G98" s="1" t="str">
        <f>VLOOKUP(B98,'PRODUCT MASTER1'!$A$1:$D$11,3)</f>
        <v>Electronics</v>
      </c>
      <c r="H98" s="3">
        <f>VLOOKUP(B98,'PRODUCT MASTER1'!$A$1:$D$11,4)</f>
        <v>28000</v>
      </c>
      <c r="I98" s="4">
        <f t="shared" si="1"/>
        <v>84000</v>
      </c>
    </row>
    <row r="99" spans="1:9" x14ac:dyDescent="0.35">
      <c r="A99" s="16">
        <v>1098</v>
      </c>
      <c r="B99" s="1" t="s">
        <v>24</v>
      </c>
      <c r="C99" s="1">
        <v>7</v>
      </c>
      <c r="D99" s="1" t="s">
        <v>9</v>
      </c>
      <c r="E99" s="1" t="s">
        <v>7</v>
      </c>
      <c r="F99" s="1" t="str">
        <f>VLOOKUP(B99,'PRODUCT MASTER1'!$A$1:$D$11,2)</f>
        <v>Headphones</v>
      </c>
      <c r="G99" s="1" t="str">
        <f>VLOOKUP(B99,'PRODUCT MASTER1'!$A$1:$D$11,3)</f>
        <v>Electronics</v>
      </c>
      <c r="H99" s="3">
        <f>VLOOKUP(B99,'PRODUCT MASTER1'!$A$1:$D$11,4)</f>
        <v>3000</v>
      </c>
      <c r="I99" s="4">
        <f t="shared" si="1"/>
        <v>21000</v>
      </c>
    </row>
    <row r="100" spans="1:9" x14ac:dyDescent="0.35">
      <c r="A100" s="16">
        <v>1099</v>
      </c>
      <c r="B100" s="1" t="s">
        <v>22</v>
      </c>
      <c r="C100" s="1">
        <v>7</v>
      </c>
      <c r="D100" s="1" t="s">
        <v>15</v>
      </c>
      <c r="E100" s="1" t="s">
        <v>19</v>
      </c>
      <c r="F100" s="1" t="str">
        <f>VLOOKUP(B100,'PRODUCT MASTER1'!$A$1:$D$11,2)</f>
        <v>Television</v>
      </c>
      <c r="G100" s="1" t="str">
        <f>VLOOKUP(B100,'PRODUCT MASTER1'!$A$1:$D$11,3)</f>
        <v>Electronics</v>
      </c>
      <c r="H100" s="3">
        <f>VLOOKUP(B100,'PRODUCT MASTER1'!$A$1:$D$11,4)</f>
        <v>45000</v>
      </c>
      <c r="I100" s="4">
        <f t="shared" si="1"/>
        <v>315000</v>
      </c>
    </row>
    <row r="101" spans="1:9" x14ac:dyDescent="0.35">
      <c r="A101" s="16">
        <v>1100</v>
      </c>
      <c r="B101" s="1" t="s">
        <v>24</v>
      </c>
      <c r="C101" s="1">
        <v>2</v>
      </c>
      <c r="D101" s="1" t="s">
        <v>21</v>
      </c>
      <c r="E101" s="1" t="s">
        <v>18</v>
      </c>
      <c r="F101" s="1" t="str">
        <f>VLOOKUP(B101,'PRODUCT MASTER1'!$A$1:$D$11,2)</f>
        <v>Headphones</v>
      </c>
      <c r="G101" s="1" t="str">
        <f>VLOOKUP(B101,'PRODUCT MASTER1'!$A$1:$D$11,3)</f>
        <v>Electronics</v>
      </c>
      <c r="H101" s="3">
        <f>VLOOKUP(B101,'PRODUCT MASTER1'!$A$1:$D$11,4)</f>
        <v>3000</v>
      </c>
      <c r="I101" s="4">
        <f>C101*H101</f>
        <v>6000</v>
      </c>
    </row>
    <row r="103" spans="1:9" x14ac:dyDescent="0.35">
      <c r="A103" s="9" t="s">
        <v>44</v>
      </c>
    </row>
    <row r="105" spans="1:9" x14ac:dyDescent="0.35">
      <c r="A105" s="9" t="s">
        <v>45</v>
      </c>
    </row>
    <row r="107" spans="1:9" x14ac:dyDescent="0.35">
      <c r="A107" s="9" t="s">
        <v>49</v>
      </c>
      <c r="B107" t="s">
        <v>46</v>
      </c>
    </row>
    <row r="108" spans="1:9" x14ac:dyDescent="0.35">
      <c r="B108" s="6"/>
    </row>
    <row r="109" spans="1:9" x14ac:dyDescent="0.35">
      <c r="B109" s="6" t="s">
        <v>47</v>
      </c>
      <c r="E109">
        <f>SUMIF(D:D,"Delhi",I:I)</f>
        <v>2353300</v>
      </c>
    </row>
    <row r="110" spans="1:9" x14ac:dyDescent="0.35">
      <c r="B110" s="6" t="s">
        <v>48</v>
      </c>
      <c r="E110">
        <f>SUMIF(G:G,"Electronics",I:I)</f>
        <v>4493000</v>
      </c>
    </row>
    <row r="111" spans="1:9" x14ac:dyDescent="0.35">
      <c r="B111" s="6" t="s">
        <v>50</v>
      </c>
      <c r="E111">
        <v>1922000</v>
      </c>
    </row>
    <row r="113" spans="1:9" x14ac:dyDescent="0.35">
      <c r="A113" s="9" t="s">
        <v>51</v>
      </c>
      <c r="B113" t="s">
        <v>52</v>
      </c>
    </row>
    <row r="114" spans="1:9" x14ac:dyDescent="0.35">
      <c r="B114" s="6"/>
    </row>
    <row r="115" spans="1:9" x14ac:dyDescent="0.35">
      <c r="B115" s="6" t="s">
        <v>53</v>
      </c>
      <c r="E115">
        <f>COUNTIFS(G:G,"Electronics", D:D, "Delhi")</f>
        <v>8</v>
      </c>
    </row>
    <row r="116" spans="1:9" x14ac:dyDescent="0.35">
      <c r="B116" s="6" t="s">
        <v>54</v>
      </c>
      <c r="E116">
        <f>COUNTIFS(E2:E101,"Priya", D2:D101, "Mumbai")</f>
        <v>2</v>
      </c>
    </row>
    <row r="118" spans="1:9" x14ac:dyDescent="0.35">
      <c r="A118" s="9" t="s">
        <v>55</v>
      </c>
      <c r="B118" t="s">
        <v>56</v>
      </c>
    </row>
    <row r="120" spans="1:9" x14ac:dyDescent="0.35">
      <c r="B120" s="7" t="s">
        <v>57</v>
      </c>
      <c r="C120" s="7" t="s">
        <v>58</v>
      </c>
      <c r="E120" s="8" t="s">
        <v>59</v>
      </c>
      <c r="F120" s="8" t="s">
        <v>58</v>
      </c>
      <c r="H120" s="12" t="s">
        <v>64</v>
      </c>
      <c r="I120" s="12" t="s">
        <v>65</v>
      </c>
    </row>
    <row r="121" spans="1:9" x14ac:dyDescent="0.35">
      <c r="B121" s="7" t="s">
        <v>18</v>
      </c>
      <c r="C121" s="7">
        <f>SUMIF(E2:E101, "Rahul",I2:I101)</f>
        <v>1922000</v>
      </c>
      <c r="E121" s="8" t="s">
        <v>30</v>
      </c>
      <c r="F121" s="8">
        <f>SUMIF(G:G, "Electronics",I:I)</f>
        <v>4493000</v>
      </c>
      <c r="H121" s="12" t="s">
        <v>9</v>
      </c>
      <c r="I121" s="12">
        <f>COUNTIF(D:D,"Delhi")</f>
        <v>27</v>
      </c>
    </row>
    <row r="122" spans="1:9" x14ac:dyDescent="0.35">
      <c r="B122" s="7" t="s">
        <v>7</v>
      </c>
      <c r="C122" s="7">
        <f>SUMIF(E3:E102, "Priya",I3:I102)</f>
        <v>1710900</v>
      </c>
      <c r="E122" s="8" t="s">
        <v>34</v>
      </c>
      <c r="F122" s="8">
        <f>SUMIF(G:G, "Home Appliances",I:I)</f>
        <v>3588000</v>
      </c>
      <c r="H122" s="12" t="s">
        <v>15</v>
      </c>
      <c r="I122" s="12">
        <f>COUNTIF(D:D,"Mumbai")</f>
        <v>19</v>
      </c>
    </row>
    <row r="123" spans="1:9" x14ac:dyDescent="0.35">
      <c r="B123" s="7" t="s">
        <v>10</v>
      </c>
      <c r="C123" s="7">
        <f>SUMIF(E4:E103, "Sneha",I4:I103)</f>
        <v>1090300</v>
      </c>
      <c r="E123" s="8" t="s">
        <v>36</v>
      </c>
      <c r="F123" s="8">
        <f>SUMIF(G:G, "Fashion",I:I)</f>
        <v>115000</v>
      </c>
      <c r="H123" s="12" t="s">
        <v>21</v>
      </c>
      <c r="I123" s="12">
        <f>COUNTIF(D:D,"Bengaluru")</f>
        <v>13</v>
      </c>
    </row>
    <row r="124" spans="1:9" x14ac:dyDescent="0.35">
      <c r="B124" s="7" t="s">
        <v>19</v>
      </c>
      <c r="C124" s="7">
        <f>SUMIF(E5:E104, "Aman",I5:I104)</f>
        <v>1316900</v>
      </c>
      <c r="E124" s="8" t="s">
        <v>39</v>
      </c>
      <c r="F124" s="8">
        <f>SUMIF(G:G, "Accessories",I:I)</f>
        <v>213000</v>
      </c>
      <c r="H124" s="12" t="s">
        <v>6</v>
      </c>
      <c r="I124" s="12">
        <f>COUNTIF(D:D,"Jaipur")</f>
        <v>20</v>
      </c>
    </row>
    <row r="125" spans="1:9" x14ac:dyDescent="0.35">
      <c r="B125" s="7" t="s">
        <v>23</v>
      </c>
      <c r="C125" s="7">
        <f>SUMIF(E6:E105, "Karan",I6:I105)</f>
        <v>722000</v>
      </c>
      <c r="E125" s="5"/>
      <c r="H125" s="12" t="s">
        <v>12</v>
      </c>
      <c r="I125" s="12">
        <f>COUNTIF(D:D,"Hyderabad")</f>
        <v>21</v>
      </c>
    </row>
    <row r="126" spans="1:9" x14ac:dyDescent="0.35">
      <c r="E126" s="5"/>
    </row>
    <row r="127" spans="1:9" x14ac:dyDescent="0.35">
      <c r="B127" s="10" t="s">
        <v>60</v>
      </c>
      <c r="C127" s="9"/>
      <c r="D127" s="9"/>
      <c r="E127" s="10" t="s">
        <v>62</v>
      </c>
      <c r="H127" s="10" t="s">
        <v>66</v>
      </c>
    </row>
    <row r="128" spans="1:9" x14ac:dyDescent="0.35">
      <c r="B128" s="11" t="s">
        <v>61</v>
      </c>
      <c r="E128" s="10" t="s">
        <v>63</v>
      </c>
      <c r="H128" s="10" t="s">
        <v>67</v>
      </c>
    </row>
    <row r="129" spans="5:5" x14ac:dyDescent="0.35">
      <c r="E12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2997-8A2B-450B-A50C-D40E90082FDF}">
  <dimension ref="A1:D11"/>
  <sheetViews>
    <sheetView zoomScale="163" workbookViewId="0">
      <selection activeCell="A2" sqref="A2"/>
    </sheetView>
  </sheetViews>
  <sheetFormatPr defaultRowHeight="14.5" x14ac:dyDescent="0.35"/>
  <cols>
    <col min="1" max="1" width="12.7265625" customWidth="1"/>
  </cols>
  <sheetData>
    <row r="1" spans="1:4" x14ac:dyDescent="0.35">
      <c r="A1" s="2" t="s">
        <v>1</v>
      </c>
      <c r="B1" s="2" t="s">
        <v>26</v>
      </c>
      <c r="C1" s="2" t="s">
        <v>27</v>
      </c>
      <c r="D1" s="2" t="s">
        <v>28</v>
      </c>
    </row>
    <row r="2" spans="1:4" x14ac:dyDescent="0.35">
      <c r="A2" s="2" t="s">
        <v>14</v>
      </c>
      <c r="B2" s="2" t="s">
        <v>29</v>
      </c>
      <c r="C2" s="2" t="s">
        <v>30</v>
      </c>
      <c r="D2" s="2">
        <v>65000</v>
      </c>
    </row>
    <row r="3" spans="1:4" x14ac:dyDescent="0.35">
      <c r="A3" s="2" t="s">
        <v>5</v>
      </c>
      <c r="B3" s="2" t="s">
        <v>31</v>
      </c>
      <c r="C3" s="2" t="s">
        <v>30</v>
      </c>
      <c r="D3" s="2">
        <v>35000</v>
      </c>
    </row>
    <row r="4" spans="1:4" x14ac:dyDescent="0.35">
      <c r="A4" s="2" t="s">
        <v>24</v>
      </c>
      <c r="B4" s="2" t="s">
        <v>32</v>
      </c>
      <c r="C4" s="2" t="s">
        <v>30</v>
      </c>
      <c r="D4" s="2">
        <v>3000</v>
      </c>
    </row>
    <row r="5" spans="1:4" x14ac:dyDescent="0.35">
      <c r="A5" s="2" t="s">
        <v>8</v>
      </c>
      <c r="B5" s="2" t="s">
        <v>33</v>
      </c>
      <c r="C5" s="2" t="s">
        <v>34</v>
      </c>
      <c r="D5" s="2">
        <v>42000</v>
      </c>
    </row>
    <row r="6" spans="1:4" x14ac:dyDescent="0.35">
      <c r="A6" s="2" t="s">
        <v>25</v>
      </c>
      <c r="B6" s="2" t="s">
        <v>35</v>
      </c>
      <c r="C6" s="2" t="s">
        <v>36</v>
      </c>
      <c r="D6" s="2">
        <v>2500</v>
      </c>
    </row>
    <row r="7" spans="1:4" x14ac:dyDescent="0.35">
      <c r="A7" s="2" t="s">
        <v>22</v>
      </c>
      <c r="B7" s="2" t="s">
        <v>37</v>
      </c>
      <c r="C7" s="2" t="s">
        <v>30</v>
      </c>
      <c r="D7" s="2">
        <v>45000</v>
      </c>
    </row>
    <row r="8" spans="1:4" x14ac:dyDescent="0.35">
      <c r="A8" s="2" t="s">
        <v>17</v>
      </c>
      <c r="B8" s="2" t="s">
        <v>38</v>
      </c>
      <c r="C8" s="2" t="s">
        <v>39</v>
      </c>
      <c r="D8" s="2">
        <v>1800</v>
      </c>
    </row>
    <row r="9" spans="1:4" x14ac:dyDescent="0.35">
      <c r="A9" s="2" t="s">
        <v>20</v>
      </c>
      <c r="B9" s="2" t="s">
        <v>40</v>
      </c>
      <c r="C9" s="2" t="s">
        <v>39</v>
      </c>
      <c r="D9" s="2">
        <v>6000</v>
      </c>
    </row>
    <row r="10" spans="1:4" x14ac:dyDescent="0.35">
      <c r="A10" s="2" t="s">
        <v>11</v>
      </c>
      <c r="B10" s="2" t="s">
        <v>41</v>
      </c>
      <c r="C10" s="2" t="s">
        <v>34</v>
      </c>
      <c r="D10" s="2">
        <v>15000</v>
      </c>
    </row>
    <row r="11" spans="1:4" x14ac:dyDescent="0.35">
      <c r="A11" s="2" t="s">
        <v>16</v>
      </c>
      <c r="B11" s="2" t="s">
        <v>42</v>
      </c>
      <c r="C11" s="2" t="s">
        <v>30</v>
      </c>
      <c r="D11" s="2">
        <v>28000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1BFE-5BF9-4F4B-83D8-354EB8F9C1AD}">
  <dimension ref="A3:L23"/>
  <sheetViews>
    <sheetView tabSelected="1" workbookViewId="0">
      <selection activeCell="R24" sqref="R24"/>
    </sheetView>
  </sheetViews>
  <sheetFormatPr defaultRowHeight="14.5" x14ac:dyDescent="0.35"/>
  <sheetData>
    <row r="3" spans="1:12" ht="21" x14ac:dyDescent="0.5">
      <c r="A3" s="18"/>
      <c r="B3" s="18" t="s">
        <v>69</v>
      </c>
      <c r="J3" s="18" t="s">
        <v>70</v>
      </c>
      <c r="K3" s="18"/>
      <c r="L3" s="18"/>
    </row>
    <row r="23" spans="2:3" ht="22" x14ac:dyDescent="0.5">
      <c r="B23" s="17" t="s">
        <v>68</v>
      </c>
      <c r="C23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 MASTER1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Kaushal</dc:creator>
  <cp:lastModifiedBy>Nakul Kaushal</cp:lastModifiedBy>
  <dcterms:created xsi:type="dcterms:W3CDTF">2026-07-02T05:05:43Z</dcterms:created>
  <dcterms:modified xsi:type="dcterms:W3CDTF">2026-07-02T07:03:47Z</dcterms:modified>
</cp:coreProperties>
</file>